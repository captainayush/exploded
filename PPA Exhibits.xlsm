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27457\Desktop\CFT\Valuations\20200715\"/>
    </mc:Choice>
  </mc:AlternateContent>
  <bookViews>
    <workbookView xWindow="-120" yWindow="-120" windowWidth="20730" windowHeight="11160" tabRatio="856" firstSheet="2" activeTab="5"/>
  </bookViews>
  <sheets>
    <sheet name="Assumption Sheet" sheetId="1" r:id="rId1"/>
    <sheet name="Table of Contents" sheetId="17" r:id="rId2"/>
    <sheet name="Exhibits ====&gt;" sheetId="203" r:id="rId3"/>
    <sheet name="Summary" sheetId="213" r:id="rId4"/>
    <sheet name="Trade Name" sheetId="210" r:id="rId5"/>
    <sheet name="Technology-RfR" sheetId="281" r:id="rId6"/>
    <sheet name="Noncompete" sheetId="214" r:id="rId7"/>
    <sheet name="Noncompete - With" sheetId="215" r:id="rId8"/>
    <sheet name="Noncompete - Without" sheetId="216" r:id="rId9"/>
    <sheet name="IRR" sheetId="52" r:id="rId10"/>
    <sheet name="WACC" sheetId="2" r:id="rId11"/>
    <sheet name="WARA" sheetId="212" r:id="rId12"/>
    <sheet name="Hist IS (All)" sheetId="285" r:id="rId13"/>
    <sheet name="Hist BS (All)" sheetId="284" r:id="rId14"/>
    <sheet name="Workpapers--&gt;" sheetId="51" r:id="rId15"/>
    <sheet name="Tax Depreciation" sheetId="283" r:id="rId16"/>
  </sheets>
  <definedNames>
    <definedName name="Attrition_Rate">'Assumption Sheet'!$G$15</definedName>
    <definedName name="Blended_Tax">'Assumption Sheet'!$G$12</definedName>
    <definedName name="CIQWBGuid" hidden="1">"33e1359c-0594-471a-85aa-63891c60a61c"</definedName>
    <definedName name="Debt_Rate">'Assumption Sheet'!#REF!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QUIRED_BY_REPORTING_BANK_FDIC" hidden="1">"c6535"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E_BR" hidden="1">"c10"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MENDED_BALANCE_PREVIOUS_YR_FDIC" hidden="1">"c6499"</definedName>
    <definedName name="IQ_AMORT_EXPENSE_FDIC" hidden="1">"c6677"</definedName>
    <definedName name="IQ_AMORTIZED_COST_FDIC" hidden="1">"c6426"</definedName>
    <definedName name="IQ_AP_BR" hidden="1">"c34"</definedName>
    <definedName name="IQ_AR_BR" hidden="1">"c41"</definedName>
    <definedName name="IQ_ASSET_BACKED_FDIC" hidden="1">"c6301"</definedName>
    <definedName name="IQ_ASSET_WRITEDOWN_BR" hidden="1">"c50"</definedName>
    <definedName name="IQ_ASSET_WRITEDOWN_CF_BR" hidden="1">"c53"</definedName>
    <definedName name="IQ_ASSETS_HELD_FDIC" hidden="1">"c6305"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CAPEX_BR" hidden="1">"c111"</definedName>
    <definedName name="IQ_CASH_DIVIDENDS_NET_INCOME_FDIC" hidden="1">"c6738"</definedName>
    <definedName name="IQ_CASH_IN_PROCESS_FDIC" hidden="1">"c6386"</definedName>
    <definedName name="IQ_CCE_FDIC" hidden="1">"c6296"</definedName>
    <definedName name="IQ_CH">110000</definedName>
    <definedName name="IQ_CHANGE_AP_BR" hidden="1">"c135"</definedName>
    <definedName name="IQ_CHANGE_AR_BR" hidden="1">"c142"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OTHER_WORK_CAP_BR" hidden="1">"c154"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MO_FDIC" hidden="1">"c6406"</definedName>
    <definedName name="IQ_COLLECTION_DOMESTIC_FDIC" hidden="1">"c6387"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RE_CONSTRUCTION_LAND_DEV_FDIC" hidden="1">"c6526"</definedName>
    <definedName name="IQ_COMMERCIAL_RE_LOANS_FDIC" hidden="1">"c6312"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_APIC_BR" hidden="1">"c185"</definedName>
    <definedName name="IQ_COMMON_FDIC" hidden="1">"c6350"</definedName>
    <definedName name="IQ_COMMON_ISSUED_BR" hidden="1">"c199"</definedName>
    <definedName name="IQ_COMMON_REP_BR" hidden="1">"c208"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TRACTS_OTHER_COMMODITIES_EQUITIES._FDIC" hidden="1">"c6522"</definedName>
    <definedName name="IQ_CONTRACTS_OTHER_COMMODITIES_EQUITIES_FDIC" hidden="1">"c6522"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OF_FUNDING_ASSETS_FDIC" hidden="1">"c6725"</definedName>
    <definedName name="IQ_CQ">5000</definedName>
    <definedName name="IQ_CREDIT_CARD_CHARGE_OFFS_FDIC" hidden="1">"c6652"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PROVISION_NET_CHARGE_OFFS_FDIC" hidden="1">"c6734"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ENCY_COIN_DOMESTIC_FDIC" hidden="1">"c6388"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RIVATIVES_FDIC" hidden="1">"c6523"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EARNING_ASSETS_FDIC" hidden="1">"c6360"</definedName>
    <definedName name="IQ_EARNING_ASSETS_YIELD_FDIC" hidden="1">"c6724"</definedName>
    <definedName name="IQ_EARNINGS_COVERAGE_NET_CHARGE_OFFS_FDIC" hidden="1">"c6735"</definedName>
    <definedName name="IQ_EBT_BR" hidden="1">"c378"</definedName>
    <definedName name="IQ_EBT_EXCL_BR" hidden="1">"c381"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ICIENCY_RATIO_FDIC" hidden="1">"c6736"</definedName>
    <definedName name="IQ_EQUITY_CAPITAL_ASSETS_FDIC" hidden="1">"c6744"</definedName>
    <definedName name="IQ_EQUITY_FDIC" hidden="1">"c6353"</definedName>
    <definedName name="IQ_EQUITY_SECURITIES_FDIC" hidden="1">"c6304"</definedName>
    <definedName name="IQ_EQUITY_SECURITY_EXPOSURES_FDIC" hidden="1">"c6664"</definedName>
    <definedName name="IQ_ESTIMATED_ASSESSABLE_DEPOSITS_FDIC" hidden="1">"c6490"</definedName>
    <definedName name="IQ_ESTIMATED_INSURED_DEPOSITS_FDIC" hidden="1">"c6491"</definedName>
    <definedName name="IQ_EXPENSE_CODE_" hidden="1">"0000"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_BR" hidden="1">"c412"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ED_FUNDS_PURCHASED_FDIC" hidden="1">"c6343"</definedName>
    <definedName name="IQ_FED_FUNDS_SOLD_FDIC" hidden="1">"c6307"</definedName>
    <definedName name="IQ_FH">100000</definedName>
    <definedName name="IQ_FHLB_ADVANCES_FDIC" hidden="1">"c6366"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N_DIV_CURRENT_PORT_DEBT_TOTAL" hidden="1">"c5524"</definedName>
    <definedName name="IQ_FIN_DIV_CURRENT_PORT_LEASES_TOTAL" hidden="1">"c5523"</definedName>
    <definedName name="IQ_FIN_DIV_DEBT_LT_TOTAL" hidden="1">"c5526"</definedName>
    <definedName name="IQ_FIN_DIV_LEASES_LT_TOTAL" hidden="1">"c5525"</definedName>
    <definedName name="IQ_FIN_DIV_NOTES_PAY_TOTAL" hidden="1">"c5522"</definedName>
    <definedName name="IQ_FIVE_YEAR_FIXED_AND_FLOATING_RATE_FDIC" hidden="1">"c6422"</definedName>
    <definedName name="IQ_FIVE_YEAR_MORTGAGE_PASS_THROUGHS_FDIC" hidden="1">"c6414"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OSITS_NONTRANSACTION_ACCOUNTS_FDIC" hidden="1">"c6549"</definedName>
    <definedName name="IQ_FOREIGN_DEPOSITS_TRANSACTION_ACCOUNTS_FDIC" hidden="1">"c6541"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Q">500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_CONTRACTS_FDIC" hidden="1">"c6517"</definedName>
    <definedName name="IQ_FX_CONTRACTS_SPOT_FDIC" hidden="1">"c6356"</definedName>
    <definedName name="IQ_FY">1000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W_AMORT_BR" hidden="1">"c532"</definedName>
    <definedName name="IQ_GW_INTAN_AMORT_BR" hidden="1">"c1470"</definedName>
    <definedName name="IQ_GW_INTAN_AMORT_CF_BR" hidden="1">"c1473"</definedName>
    <definedName name="IQ_HELD_MATURITY_FDIC" hidden="1">"c6408"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EQUITY_BR" hidden="1">"c550"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SETTLE_BR" hidden="1">"c572"</definedName>
    <definedName name="IQ_INSIDER_LOANS_FDIC" hidden="1">"c6365"</definedName>
    <definedName name="IQ_INSTITUTIONS_EARNINGS_GAINS_FDIC" hidden="1">"c6723"</definedName>
    <definedName name="IQ_INSURANCE_COMMISSION_FEES_FDIC" hidden="1">"c6670"</definedName>
    <definedName name="IQ_INSURANCE_UNDERWRITING_INCOME_FDIC" hidden="1">"c6671"</definedName>
    <definedName name="IQ_INT_DEMAND_NOTES_FDIC" hidden="1">"c6567"</definedName>
    <definedName name="IQ_INT_DOMESTIC_DEPOSITS_FDIC" hidden="1">"c6564"</definedName>
    <definedName name="IQ_INT_EXP_BR" hidden="1">"c586"</definedName>
    <definedName name="IQ_INT_EXP_TOTAL_FDIC" hidden="1">"c6569"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OREIGN_LOANS_FDIC" hidden="1">"c6556"</definedName>
    <definedName name="IQ_INT_INC_LEASE_RECEIVABLES_FDIC" hidden="1">"c6557"</definedName>
    <definedName name="IQ_INT_INC_OTHER_FDIC" hidden="1">"c6562"</definedName>
    <definedName name="IQ_INT_INC_SECURITIES_FDIC" hidden="1">"c6559"</definedName>
    <definedName name="IQ_INT_INC_TOTAL_FDIC" hidden="1">"c6563"</definedName>
    <definedName name="IQ_INT_INC_TRADING_ACCOUNTS_FDIC" hidden="1">"c6560"</definedName>
    <definedName name="IQ_INT_SUB_NOTES_FDIC" hidden="1">"c6568"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RATE_CONTRACTS_FDIC" hidden="1">"c6512"</definedName>
    <definedName name="IQ_INTEREST_RATE_EXPOSURES_FDIC" hidden="1">"c6662"</definedName>
    <definedName name="IQ_INVEST_LOANS_CF_BR" hidden="1">"c630"</definedName>
    <definedName name="IQ_INVEST_SECURITY_CF_BR" hidden="1">"c639"</definedName>
    <definedName name="IQ_INVESTMENT_BANKING_OTHER_FEES_FDIC" hidden="1">"c6666"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UED_GUARANTEED_US_FDIC" hidden="1">"c6404"</definedName>
    <definedName name="IQ_LATESTK" hidden="1">1000</definedName>
    <definedName name="IQ_LATESTQ" hidden="1">500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_BR" hidden="1">"c649"</definedName>
    <definedName name="IQ_LIFE_INSURANCE_ASSETS_FDIC" hidden="1">"c6372"</definedName>
    <definedName name="IQ_LOAN_COMMITMENTS_REVOLVING_FDIC" hidden="1">"c6524"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S_AND_LEASES_HELD_FDIC" hidden="1">"c6367"</definedName>
    <definedName name="IQ_LOANS_CF_BR" hidden="1">"c661"</definedName>
    <definedName name="IQ_LOANS_DEPOSITORY_INSTITUTIONS_FDIC" hidden="1">"c6382"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SS_ALLOWANCE_LOANS_FDIC" hidden="1">"c6739"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MONTH" hidden="1">120000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RGER_BR" hidden="1">"c715"</definedName>
    <definedName name="IQ_MERGER_RESTRUCTURE_BR" hidden="1">"c721"</definedName>
    <definedName name="IQ_MINORITY_INTEREST_BR" hidden="1">"c729"</definedName>
    <definedName name="IQ_MONEY_MARKET_DEPOSIT_ACCOUNTS_FDIC" hidden="1">"c6553"</definedName>
    <definedName name="IQ_MONTH">15000</definedName>
    <definedName name="IQ_MORTGAGE_BACKED_SECURITIES_FDIC" hidden="1">"c6402"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42832.2104282407</definedName>
    <definedName name="IQ_NET_CHARGE_OFFS_FDIC" hidden="1">"c6641"</definedName>
    <definedName name="IQ_NET_CHARGE_OFFS_LOANS_FDIC" hidden="1">"c6751"</definedName>
    <definedName name="IQ_NET_DEBT_ISSUED_BR" hidden="1">"c753"</definedName>
    <definedName name="IQ_NET_INCOME_FDIC" hidden="1">"c6587"</definedName>
    <definedName name="IQ_NET_INT_INC_BNK_FDIC" hidden="1">"c6570"</definedName>
    <definedName name="IQ_NET_INT_INC_BR" hidden="1">"c765"</definedName>
    <definedName name="IQ_NET_INTEREST_MARGIN_FDIC" hidden="1">"c6726"</definedName>
    <definedName name="IQ_NET_LOANS_LEASES_CORE_DEPOSITS_FDIC" hidden="1">"c6743"</definedName>
    <definedName name="IQ_NET_LOANS_LEASES_DEPOSITS_FDIC" hidden="1">"c6742"</definedName>
    <definedName name="IQ_NET_OPERATING_INCOME_ASSETS_FDIC" hidden="1">"c6729"</definedName>
    <definedName name="IQ_NET_SECURITIZATION_INCOME_FDIC" hidden="1">"c6669"</definedName>
    <definedName name="IQ_NET_SERVICING_FEES_FDIC" hidden="1">"c6668"</definedName>
    <definedName name="IQ_NON_INT_EXP_FDIC" hidden="1">"c6579"</definedName>
    <definedName name="IQ_NON_INT_INC_FDIC" hidden="1">"c6575"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TM">6000</definedName>
    <definedName name="IQ_NUMBER_DEPOSITS_LESS_THAN_100K_FDIC" hidden="1">"c6495"</definedName>
    <definedName name="IQ_NUMBER_DEPOSITS_MORE_THAN_100K_FDIC" hidden="1">"c6493"</definedName>
    <definedName name="IQ_OBLIGATIONS_OF_STATES_TOTAL_LOANS_FOREIGN_FDIC" hidden="1">"c6447"</definedName>
    <definedName name="IQ_OBLIGATIONS_STATES_FDIC" hidden="1">"c6431"</definedName>
    <definedName name="IQ_OG_TOTAL_OIL_PRODUCTON" hidden="1">"c2059"</definedName>
    <definedName name="IQ_OPENED55" hidden="1">1</definedName>
    <definedName name="IQ_OPER_INC_BR" hidden="1">"c850"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SSETS_BR" hidden="1">"c862"</definedName>
    <definedName name="IQ_OTHER_ASSETS_FDIC" hidden="1">"c6338"</definedName>
    <definedName name="IQ_OTHER_BORROWED_FUNDS_FDIC" hidden="1">"c6345"</definedName>
    <definedName name="IQ_OTHER_CA_SUPPL_BR" hidden="1">"c871"</definedName>
    <definedName name="IQ_OTHER_CL_SUPPL_BR" hidden="1">"c880"</definedName>
    <definedName name="IQ_OTHER_COMPREHENSIVE_INCOME_FDIC" hidden="1">"c6503"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SURANCE_FEES_FDIC" hidden="1">"c6672"</definedName>
    <definedName name="IQ_OTHER_INTAN_BR" hidden="1">"c909"</definedName>
    <definedName name="IQ_OTHER_INTANGIBLE_FDIC" hidden="1">"c6337"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IABILITIES_FDIC" hidden="1">"c6347"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T_ASSETS_BR" hidden="1">"c948"</definedName>
    <definedName name="IQ_OTHER_NON_INT_EXP_FDIC" hidden="1">"c6578"</definedName>
    <definedName name="IQ_OTHER_NON_INT_EXPENSE_FDIC" hidden="1">"c6679"</definedName>
    <definedName name="IQ_OTHER_NON_INT_INC_FDIC" hidden="1">"c6676"</definedName>
    <definedName name="IQ_OTHER_NON_OPER_EXP_BR" hidden="1">"c957"</definedName>
    <definedName name="IQ_OTHER_NON_OPER_EXP_SUPPL_BR" hidden="1">"c962"</definedName>
    <definedName name="IQ_OTHER_OFF_BS_LIAB_FDIC" hidden="1">"c6533"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_OWNED_FDIC" hidden="1">"c6330"</definedName>
    <definedName name="IQ_OTHER_REV_BR" hidden="1">"c1011"</definedName>
    <definedName name="IQ_OTHER_REV_SUPPL_BR" hidden="1">"c1016"</definedName>
    <definedName name="IQ_OTHER_SAVINGS_DEPOSITS_FDIC" hidden="1">"c6554"</definedName>
    <definedName name="IQ_OTHER_TRANSACTIONS_FDIC" hidden="1">"c6504"</definedName>
    <definedName name="IQ_OTHER_UNUSED_COMMITMENTS_FDIC" hidden="1">"c6530"</definedName>
    <definedName name="IQ_OTHER_UNUSUAL_BR" hidden="1">"c1561"</definedName>
    <definedName name="IQ_OTHER_UNUSUAL_SUPPL_BR" hidden="1">"c1496"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C_WRITTEN" hidden="1">"c1027"</definedName>
    <definedName name="IQ_PERCENT_INSURED_FDIC" hidden="1">"c6374"</definedName>
    <definedName name="IQ_PLEDGED_SECURITIES_FDIC" hidden="1">"c6401"</definedName>
    <definedName name="IQ_PRE_TAX_INCOME_FDIC" hidden="1">"c6581"</definedName>
    <definedName name="IQ_PREF_ISSUED_BR" hidden="1">"c1047"</definedName>
    <definedName name="IQ_PREF_OTHER_BR" hidden="1">"c1055"</definedName>
    <definedName name="IQ_PREF_REP_BR" hidden="1">"c1062"</definedName>
    <definedName name="IQ_PREFERRED_FDIC" hidden="1">"c6349"</definedName>
    <definedName name="IQ_PREMISES_EQUIPMENT_FDIC" hidden="1">"c6577"</definedName>
    <definedName name="IQ_PRETAX_RETURN_ASSETS_FDIC" hidden="1">"c6731"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LATED_PLANS_FDIC" hidden="1">"c6320"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TATEMENTS_NET_FDIC" hidden="1">"c6500"</definedName>
    <definedName name="IQ_RESTRUCTURE_BR" hidden="1">"c1106"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DEPOSITS_FDIC" hidden="1">"c6488"</definedName>
    <definedName name="IQ_RETAINED_EARNINGS_AVERAGE_EQUITY_FDIC" hidden="1">"c6733"</definedName>
    <definedName name="IQ_RETURN_ASSETS_BROK" hidden="1">"c1115"</definedName>
    <definedName name="IQ_RETURN_ASSETS_FDIC" hidden="1">"c6730"</definedName>
    <definedName name="IQ_RETURN_EQUITY_BROK" hidden="1">"c1120"</definedName>
    <definedName name="IQ_RETURN_EQUITY_FDIC" hidden="1">"c6732"</definedName>
    <definedName name="IQ_REVALUATION_GAINS_FDIC" hidden="1">"c6428"</definedName>
    <definedName name="IQ_REVALUATION_LOSSES_FDIC" hidden="1">"c6429"</definedName>
    <definedName name="IQ_RISK_WEIGHTED_ASSETS_FDIC" hidden="1">"c6370"</definedName>
    <definedName name="IQ_SALARY_FDIC" hidden="1">"c6576"</definedName>
    <definedName name="IQ_SALE_CONVERSION_RETIREMENT_STOCK_FDIC" hidden="1">"c6661"</definedName>
    <definedName name="IQ_SALE_INTAN_CF_BR" hidden="1">"c1133"</definedName>
    <definedName name="IQ_SALE_PPE_CF_BR" hidden="1">"c1139"</definedName>
    <definedName name="IQ_SALE_REAL_ESTATE_CF_BR" hidden="1">"c1145"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RVICE_CHARGES_FDIC" hidden="1">"c6572"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UB_DEBT_FDIC" hidden="1">"c6346"</definedName>
    <definedName name="IQ_SURPLUS_FDIC" hidden="1">"c6351"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AL_AR_BR" hidden="1">"c1231"</definedName>
    <definedName name="IQ_TOTAL_ASSETS_FDIC" hidden="1">"c6339"</definedName>
    <definedName name="IQ_TOTAL_CHARGE_OFFS_FDIC" hidden="1">"c6603"</definedName>
    <definedName name="IQ_TOTAL_DEBT_ISSUED_BR" hidden="1">"c1253"</definedName>
    <definedName name="IQ_TOTAL_DEBT_REPAID_BR" hidden="1">"c1260"</definedName>
    <definedName name="IQ_TOTAL_DEBT_SECURITIES_FDIC" hidden="1">"c6410"</definedName>
    <definedName name="IQ_TOTAL_DEPOSITS_FDIC" hidden="1">"c6342"</definedName>
    <definedName name="IQ_TOTAL_EMPLOYEES_FDIC" hidden="1">"c6355"</definedName>
    <definedName name="IQ_TOTAL_LIAB_BR" hidden="1">"c1278"</definedName>
    <definedName name="IQ_TOTAL_LIAB_EQUITY_FDIC" hidden="1">"c6354"</definedName>
    <definedName name="IQ_TOTAL_LIABILITIES_FDIC" hidden="1">"c6348"</definedName>
    <definedName name="IQ_TOTAL_OPER_EXP_BR" hidden="1">"c1284"</definedName>
    <definedName name="IQ_TOTAL_RECOVERIES_FDIC" hidden="1">"c6622"</definedName>
    <definedName name="IQ_TOTAL_REV_BNK_FDIC" hidden="1">"c6786"</definedName>
    <definedName name="IQ_TOTAL_REV_BR" hidden="1">"c1303"</definedName>
    <definedName name="IQ_TOTAL_RISK_BASED_CAPITAL_RATIO_FDIC" hidden="1">"c6747"</definedName>
    <definedName name="IQ_TOTAL_SECURITIES_FDIC" hidden="1">"c6306"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RADING_ACCOUNT_GAINS_FEES_FDIC" hidden="1">"c6573"</definedName>
    <definedName name="IQ_TRADING_ASSETS_FDIC" hidden="1">"c6328"</definedName>
    <definedName name="IQ_TRADING_LIABILITIES_FDIC" hidden="1">"c6344"</definedName>
    <definedName name="IQ_TRANSACTION_ACCOUNTS_FDIC" hidden="1">"c6544"</definedName>
    <definedName name="IQ_TREASURY_OTHER_EQUITY_BR" hidden="1">"c1314"</definedName>
    <definedName name="IQ_TREASURY_STOCK_TRANSACTIONS_FDIC" hidden="1">"c6501"</definedName>
    <definedName name="IQ_TWELVE_MONTHS_FIXED_AND_FLOATING_FDIC" hidden="1">"c6420"</definedName>
    <definedName name="IQ_TWELVE_MONTHS_MORTGAGE_PASS_THROUGHS_FDIC" hidden="1">"c6412"</definedName>
    <definedName name="IQ_UNDIVIDED_PROFITS_FDIC" hidden="1">"c6352"</definedName>
    <definedName name="IQ_UNEARN_REV_CURRENT_BR" hidden="1">"c1324"</definedName>
    <definedName name="IQ_UNEARNED_INCOME_FDIC" hidden="1">"c6324"</definedName>
    <definedName name="IQ_UNEARNED_INCOME_FOREIGN_FDIC" hidden="1">"c6385"</definedName>
    <definedName name="IQ_UNPROFITABLE_INSTITUTIONS_FDIC" hidden="1">"c6722"</definedName>
    <definedName name="IQ_UNUSED_LOAN_COMMITMENTS_FDIC" hidden="1">"c6368"</definedName>
    <definedName name="IQ_US_BRANCHES_FOREIGN_BANK_LOANS_FDIC" hidden="1">"c6435"</definedName>
    <definedName name="IQ_US_BRANCHES_FOREIGN_BANKS_FDIC" hidden="1">"c6390"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VALUATION_ALLOWANCES_FDIC" hidden="1">"c6400"</definedName>
    <definedName name="IQ_VC_REVENUE_FDIC" hidden="1">"c6667"</definedName>
    <definedName name="IQ_VOLATILE_LIABILITIES_FDIC" hidden="1">"c6364"</definedName>
    <definedName name="IQ_WEEK">50000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YTD">3000</definedName>
    <definedName name="IQ_YTDMONTH" hidden="1">130000</definedName>
    <definedName name="ListOffset" hidden="1">1</definedName>
    <definedName name="LTG_Rate">'Assumption Sheet'!$G$19</definedName>
    <definedName name="Prime_Rate">'Assumption Sheet'!$G$13</definedName>
    <definedName name="_xlnm.Print_Area" localSheetId="0">'Assumption Sheet'!$A$1:$M$22</definedName>
    <definedName name="_xlnm.Print_Area" localSheetId="13">'Hist BS (All)'!$A$1:$L$40</definedName>
    <definedName name="_xlnm.Print_Area" localSheetId="12">'Hist IS (All)'!$A$1:$L$21</definedName>
    <definedName name="_xlnm.Print_Area" localSheetId="9">IRR!$A$1:$X$53</definedName>
    <definedName name="_xlnm.Print_Area" localSheetId="6">Noncompete!$A$1:$J$22</definedName>
    <definedName name="_xlnm.Print_Area" localSheetId="7">'Noncompete - With'!$A$1:$S$37</definedName>
    <definedName name="_xlnm.Print_Area" localSheetId="8">'Noncompete - Without'!$A$1:$S$40</definedName>
    <definedName name="_xlnm.Print_Area" localSheetId="3">Summary!$A$1:$K$29</definedName>
    <definedName name="_xlnm.Print_Area" localSheetId="1">'Table of Contents'!$A$1:$H$13</definedName>
    <definedName name="_xlnm.Print_Area" localSheetId="15">'Tax Depreciation'!$A$1:$O$50</definedName>
    <definedName name="_xlnm.Print_Area" localSheetId="5">'Technology-RfR'!$A$1:$R$31</definedName>
    <definedName name="_xlnm.Print_Area" localSheetId="4">'Trade Name'!$A$1:$R$28</definedName>
    <definedName name="_xlnm.Print_Area" localSheetId="10">WACC!$A$1:$Q$33</definedName>
    <definedName name="_xlnm.Print_Area" localSheetId="11">WARA!$A$1:$L$27</definedName>
    <definedName name="_xlnm.Print_Titles" localSheetId="15">'Tax Depreciation'!$1:$1</definedName>
    <definedName name="rfr">'Assumption Sheet'!$G$20</definedName>
    <definedName name="Ticker">"DOX"</definedName>
    <definedName name="Val_Date">'Assumption Sheet'!$G$5</definedName>
  </definedNames>
  <calcPr calcId="162913" calcMode="autoNoTable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1" i="214" l="1"/>
  <c r="E11" i="210"/>
  <c r="H6" i="210"/>
  <c r="J10" i="285" l="1"/>
  <c r="I10" i="285"/>
  <c r="H10" i="285"/>
  <c r="G10" i="285"/>
  <c r="K7" i="285"/>
  <c r="I7" i="285"/>
  <c r="H7" i="285"/>
  <c r="G7" i="285"/>
  <c r="J9" i="52"/>
  <c r="L9" i="52"/>
  <c r="L15" i="52"/>
  <c r="L14" i="52"/>
  <c r="L13" i="52"/>
  <c r="K26" i="284" l="1"/>
  <c r="J26" i="284"/>
  <c r="I26" i="284"/>
  <c r="H26" i="284"/>
  <c r="L22" i="284"/>
  <c r="K22" i="284"/>
  <c r="J22" i="284"/>
  <c r="I22" i="284"/>
  <c r="H22" i="284"/>
  <c r="K18" i="284"/>
  <c r="J18" i="284"/>
  <c r="I18" i="284"/>
  <c r="H18" i="284"/>
  <c r="K11" i="284"/>
  <c r="J11" i="284"/>
  <c r="I11" i="284"/>
  <c r="H11" i="284"/>
  <c r="K10" i="284"/>
  <c r="J10" i="284"/>
  <c r="I10" i="284"/>
  <c r="H10" i="284"/>
  <c r="K7" i="284"/>
  <c r="J7" i="284"/>
  <c r="I7" i="284"/>
  <c r="H7" i="284"/>
  <c r="K6" i="284"/>
  <c r="J6" i="284"/>
  <c r="I6" i="284"/>
  <c r="H6" i="284"/>
  <c r="J5" i="284"/>
  <c r="K5" i="284" s="1"/>
  <c r="I5" i="284"/>
  <c r="H5" i="284"/>
  <c r="B8" i="281" l="1"/>
  <c r="L30" i="52"/>
  <c r="L12" i="216"/>
  <c r="M12" i="216" s="1"/>
  <c r="B52" i="52"/>
  <c r="B51" i="52"/>
  <c r="N9" i="52"/>
  <c r="L6" i="52"/>
  <c r="J6" i="52"/>
  <c r="G16" i="285"/>
  <c r="H7" i="283"/>
  <c r="L7" i="52"/>
  <c r="D18" i="2"/>
  <c r="C12" i="213"/>
  <c r="C19" i="213"/>
  <c r="F12" i="213"/>
  <c r="I8" i="285"/>
  <c r="I11" i="285" s="1"/>
  <c r="I16" i="285" s="1"/>
  <c r="H8" i="285"/>
  <c r="H11" i="285" s="1"/>
  <c r="H16" i="285" s="1"/>
  <c r="G8" i="285"/>
  <c r="G11" i="285" s="1"/>
  <c r="I6" i="285"/>
  <c r="H6" i="285"/>
  <c r="H3" i="285"/>
  <c r="K35" i="284"/>
  <c r="J35" i="284"/>
  <c r="I35" i="284"/>
  <c r="H35" i="284"/>
  <c r="K33" i="284"/>
  <c r="F13" i="213" s="1"/>
  <c r="J33" i="284"/>
  <c r="I33" i="284"/>
  <c r="H33" i="284"/>
  <c r="G33" i="284"/>
  <c r="K24" i="284"/>
  <c r="J24" i="284"/>
  <c r="I24" i="284"/>
  <c r="H24" i="284"/>
  <c r="K20" i="284"/>
  <c r="J20" i="284"/>
  <c r="I20" i="284"/>
  <c r="I25" i="284" s="1"/>
  <c r="H20" i="284"/>
  <c r="K13" i="284"/>
  <c r="J13" i="284"/>
  <c r="I13" i="284"/>
  <c r="H13" i="284"/>
  <c r="K8" i="284"/>
  <c r="J8" i="284"/>
  <c r="J14" i="284" s="1"/>
  <c r="I8" i="284"/>
  <c r="I30" i="284" s="1"/>
  <c r="I31" i="284" s="1"/>
  <c r="H8" i="284"/>
  <c r="K3" i="284"/>
  <c r="I3" i="284"/>
  <c r="C4" i="2"/>
  <c r="C10" i="2"/>
  <c r="C6" i="2"/>
  <c r="C3" i="2"/>
  <c r="C9" i="2"/>
  <c r="C7" i="2"/>
  <c r="C5" i="2"/>
  <c r="C8" i="2"/>
  <c r="I10" i="2"/>
  <c r="D10" i="2"/>
  <c r="E9" i="2"/>
  <c r="G8" i="2"/>
  <c r="H7" i="2"/>
  <c r="I6" i="2"/>
  <c r="D6" i="2"/>
  <c r="E5" i="2"/>
  <c r="D4" i="2"/>
  <c r="H10" i="2"/>
  <c r="I9" i="2"/>
  <c r="D9" i="2"/>
  <c r="E8" i="2"/>
  <c r="G7" i="2"/>
  <c r="H6" i="2"/>
  <c r="D5" i="2"/>
  <c r="G3" i="2"/>
  <c r="G10" i="2"/>
  <c r="H9" i="2"/>
  <c r="I8" i="2"/>
  <c r="D8" i="2"/>
  <c r="E7" i="2"/>
  <c r="G6" i="2"/>
  <c r="H5" i="2"/>
  <c r="I4" i="2"/>
  <c r="E10" i="2"/>
  <c r="G9" i="2"/>
  <c r="H8" i="2"/>
  <c r="I7" i="2"/>
  <c r="D7" i="2"/>
  <c r="E6" i="2"/>
  <c r="G5" i="2"/>
  <c r="H4" i="2"/>
  <c r="I3" i="2"/>
  <c r="D3" i="2"/>
  <c r="H3" i="2"/>
  <c r="I5" i="2"/>
  <c r="E4" i="2"/>
  <c r="G4" i="2"/>
  <c r="E3" i="2"/>
  <c r="N12" i="216" l="1"/>
  <c r="H30" i="284"/>
  <c r="H31" i="284" s="1"/>
  <c r="J30" i="284"/>
  <c r="J31" i="284" s="1"/>
  <c r="H14" i="284"/>
  <c r="I14" i="284"/>
  <c r="K14" i="284"/>
  <c r="K8" i="285"/>
  <c r="K11" i="285" s="1"/>
  <c r="F9" i="2"/>
  <c r="F4" i="2"/>
  <c r="J4" i="2" s="1"/>
  <c r="K4" i="2" s="1"/>
  <c r="L4" i="2" s="1"/>
  <c r="F7" i="2"/>
  <c r="F8" i="2"/>
  <c r="F6" i="2"/>
  <c r="J6" i="2" s="1"/>
  <c r="K6" i="2" s="1"/>
  <c r="L6" i="2" s="1"/>
  <c r="F10" i="2"/>
  <c r="F5" i="2"/>
  <c r="J5" i="2" s="1"/>
  <c r="K5" i="2" s="1"/>
  <c r="L5" i="2" s="1"/>
  <c r="F3" i="2"/>
  <c r="J3" i="2" s="1"/>
  <c r="K3" i="2" s="1"/>
  <c r="G3" i="285"/>
  <c r="G14" i="285"/>
  <c r="H14" i="285"/>
  <c r="H3" i="284"/>
  <c r="I27" i="284"/>
  <c r="J25" i="284"/>
  <c r="K25" i="284"/>
  <c r="K30" i="284"/>
  <c r="K31" i="284" s="1"/>
  <c r="U46" i="52" s="1"/>
  <c r="I14" i="285"/>
  <c r="H25" i="284"/>
  <c r="N57" i="52"/>
  <c r="N59" i="52" s="1"/>
  <c r="L3" i="2" l="1"/>
  <c r="O12" i="216"/>
  <c r="K16" i="285"/>
  <c r="K14" i="285"/>
  <c r="J27" i="284"/>
  <c r="F11" i="213"/>
  <c r="H27" i="284"/>
  <c r="K27" i="284"/>
  <c r="N34" i="283"/>
  <c r="M34" i="283"/>
  <c r="L34" i="283"/>
  <c r="K34" i="283"/>
  <c r="J34" i="283"/>
  <c r="I34" i="283"/>
  <c r="H34" i="283"/>
  <c r="P12" i="216" l="1"/>
  <c r="H10" i="283"/>
  <c r="H8" i="283"/>
  <c r="H11" i="283" s="1"/>
  <c r="G25" i="283"/>
  <c r="H27" i="283"/>
  <c r="C14" i="212"/>
  <c r="C15" i="212"/>
  <c r="C16" i="212"/>
  <c r="K23" i="212"/>
  <c r="L14" i="2"/>
  <c r="D19" i="2" s="1"/>
  <c r="D20" i="2"/>
  <c r="N2" i="52"/>
  <c r="P2" i="52"/>
  <c r="J3" i="52"/>
  <c r="L3" i="52"/>
  <c r="N3" i="52"/>
  <c r="J3" i="215" s="1"/>
  <c r="W7" i="52"/>
  <c r="J16" i="52"/>
  <c r="L16" i="52"/>
  <c r="I30" i="52"/>
  <c r="I31" i="52"/>
  <c r="G35" i="52"/>
  <c r="U40" i="52" s="1"/>
  <c r="S40" i="52"/>
  <c r="G61" i="52"/>
  <c r="B46" i="52"/>
  <c r="W55" i="52"/>
  <c r="Q57" i="52"/>
  <c r="R57" i="52"/>
  <c r="S57" i="52"/>
  <c r="U57" i="52"/>
  <c r="W57" i="52" s="1"/>
  <c r="L2" i="216"/>
  <c r="H7" i="216"/>
  <c r="M31" i="216"/>
  <c r="N31" i="216"/>
  <c r="O31" i="216" s="1"/>
  <c r="P31" i="216" s="1"/>
  <c r="H33" i="216"/>
  <c r="B40" i="216"/>
  <c r="L2" i="215"/>
  <c r="G24" i="215"/>
  <c r="G27" i="216" s="1"/>
  <c r="M28" i="215"/>
  <c r="N28" i="215" s="1"/>
  <c r="O28" i="215" s="1"/>
  <c r="P28" i="215" s="1"/>
  <c r="H30" i="215"/>
  <c r="B37" i="215"/>
  <c r="B5" i="214"/>
  <c r="B7" i="214"/>
  <c r="B9" i="214"/>
  <c r="B13" i="214"/>
  <c r="H15" i="214"/>
  <c r="B17" i="214"/>
  <c r="B19" i="214" s="1"/>
  <c r="J2" i="281"/>
  <c r="B5" i="281"/>
  <c r="B6" i="281"/>
  <c r="G6" i="281"/>
  <c r="F46" i="281"/>
  <c r="G10" i="281"/>
  <c r="K14" i="281"/>
  <c r="L14" i="281" s="1"/>
  <c r="M14" i="281" s="1"/>
  <c r="N14" i="281" s="1"/>
  <c r="G16" i="281"/>
  <c r="G20" i="281"/>
  <c r="D21" i="281"/>
  <c r="D23" i="281"/>
  <c r="B30" i="281"/>
  <c r="J2" i="210"/>
  <c r="B6" i="210"/>
  <c r="G6" i="210"/>
  <c r="J6" i="210"/>
  <c r="K6" i="210" s="1"/>
  <c r="L6" i="210" s="1"/>
  <c r="M6" i="210" s="1"/>
  <c r="N6" i="210" s="1"/>
  <c r="O6" i="210" s="1"/>
  <c r="Q6" i="210" s="1"/>
  <c r="K15" i="210"/>
  <c r="L15" i="210" s="1"/>
  <c r="M15" i="210" s="1"/>
  <c r="N15" i="210" s="1"/>
  <c r="O15" i="210" s="1"/>
  <c r="D22" i="210"/>
  <c r="D24" i="210"/>
  <c r="E5" i="213"/>
  <c r="F8" i="213"/>
  <c r="H6" i="213" s="1"/>
  <c r="E11" i="213"/>
  <c r="E12" i="213"/>
  <c r="E13" i="213"/>
  <c r="E9" i="212"/>
  <c r="C17" i="213"/>
  <c r="C18" i="213"/>
  <c r="J18" i="213"/>
  <c r="E22" i="213"/>
  <c r="G6" i="1"/>
  <c r="G12" i="1"/>
  <c r="G25" i="52" s="1"/>
  <c r="R12" i="216" l="1"/>
  <c r="I8" i="283"/>
  <c r="J8" i="283" s="1"/>
  <c r="K8" i="283" s="1"/>
  <c r="L8" i="283" s="1"/>
  <c r="M8" i="283" s="1"/>
  <c r="N8" i="283" s="1"/>
  <c r="J3" i="216"/>
  <c r="L3" i="216" s="1"/>
  <c r="M3" i="216" s="1"/>
  <c r="N3" i="216" s="1"/>
  <c r="O3" i="216" s="1"/>
  <c r="P3" i="216" s="1"/>
  <c r="R3" i="216" s="1"/>
  <c r="H3" i="210"/>
  <c r="J3" i="210" s="1"/>
  <c r="K3" i="210" s="1"/>
  <c r="L3" i="210" s="1"/>
  <c r="M3" i="210" s="1"/>
  <c r="N3" i="210" s="1"/>
  <c r="O3" i="210" s="1"/>
  <c r="H3" i="281"/>
  <c r="J3" i="281" s="1"/>
  <c r="K3" i="281" s="1"/>
  <c r="L3" i="281" s="1"/>
  <c r="M3" i="281" s="1"/>
  <c r="N3" i="281" s="1"/>
  <c r="P3" i="281" s="1"/>
  <c r="J7" i="2"/>
  <c r="K7" i="2" s="1"/>
  <c r="J9" i="2"/>
  <c r="K9" i="2" s="1"/>
  <c r="L9" i="2" s="1"/>
  <c r="J8" i="2"/>
  <c r="K8" i="2" s="1"/>
  <c r="L8" i="2" s="1"/>
  <c r="J10" i="2"/>
  <c r="K10" i="2" s="1"/>
  <c r="L10" i="2" s="1"/>
  <c r="H13" i="283"/>
  <c r="H48" i="283" s="1"/>
  <c r="P3" i="52"/>
  <c r="Q3" i="52" s="1"/>
  <c r="T57" i="52"/>
  <c r="P57" i="52"/>
  <c r="O31" i="212"/>
  <c r="J2" i="216"/>
  <c r="H2" i="210"/>
  <c r="H2" i="281"/>
  <c r="J2" i="215"/>
  <c r="N34" i="52"/>
  <c r="N13" i="52"/>
  <c r="N5" i="52"/>
  <c r="N15" i="52"/>
  <c r="N14" i="52"/>
  <c r="H14" i="281"/>
  <c r="J31" i="216"/>
  <c r="J28" i="215"/>
  <c r="H8" i="213"/>
  <c r="F14" i="213"/>
  <c r="G59" i="52" s="1"/>
  <c r="H12" i="213"/>
  <c r="H11" i="213"/>
  <c r="H7" i="213"/>
  <c r="G7" i="212"/>
  <c r="G8" i="212"/>
  <c r="G9" i="212"/>
  <c r="O19" i="2"/>
  <c r="D23" i="2" s="1"/>
  <c r="E31" i="214"/>
  <c r="E11" i="281"/>
  <c r="E38" i="281" s="1"/>
  <c r="G23" i="216"/>
  <c r="G20" i="215"/>
  <c r="H13" i="213"/>
  <c r="E8" i="212"/>
  <c r="H15" i="210"/>
  <c r="H16" i="210" s="1"/>
  <c r="J16" i="210" s="1"/>
  <c r="K16" i="210" s="1"/>
  <c r="L16" i="210" s="1"/>
  <c r="M16" i="210" s="1"/>
  <c r="N16" i="210" s="1"/>
  <c r="O16" i="210" s="1"/>
  <c r="E12" i="210"/>
  <c r="E35" i="210" s="1"/>
  <c r="H44" i="281"/>
  <c r="L3" i="215"/>
  <c r="L31" i="52"/>
  <c r="O29" i="212"/>
  <c r="O38" i="212" s="1"/>
  <c r="H5" i="283"/>
  <c r="H28" i="283" s="1"/>
  <c r="L10" i="52"/>
  <c r="K13" i="2" l="1"/>
  <c r="L7" i="2"/>
  <c r="K12" i="2"/>
  <c r="N31" i="52"/>
  <c r="H30" i="283" s="1"/>
  <c r="N6" i="52"/>
  <c r="I7" i="283"/>
  <c r="I11" i="283" s="1"/>
  <c r="H14" i="283"/>
  <c r="I5" i="283"/>
  <c r="I28" i="283" s="1"/>
  <c r="C37" i="283" s="1"/>
  <c r="M6" i="2"/>
  <c r="O6" i="2" s="1"/>
  <c r="M3" i="2"/>
  <c r="O3" i="2" s="1"/>
  <c r="M4" i="2"/>
  <c r="O4" i="2" s="1"/>
  <c r="M5" i="2"/>
  <c r="O5" i="2" s="1"/>
  <c r="O20" i="2"/>
  <c r="O26" i="2" s="1"/>
  <c r="M7" i="2"/>
  <c r="M10" i="2"/>
  <c r="O10" i="2" s="1"/>
  <c r="U47" i="52"/>
  <c r="M8" i="2"/>
  <c r="O8" i="2" s="1"/>
  <c r="M9" i="2"/>
  <c r="O9" i="2" s="1"/>
  <c r="N26" i="2"/>
  <c r="H14" i="213"/>
  <c r="J32" i="216"/>
  <c r="L32" i="216"/>
  <c r="M32" i="216" s="1"/>
  <c r="N32" i="216" s="1"/>
  <c r="O32" i="216" s="1"/>
  <c r="P32" i="216" s="1"/>
  <c r="R31" i="216"/>
  <c r="R2" i="216" s="1"/>
  <c r="P34" i="52"/>
  <c r="N35" i="52"/>
  <c r="L18" i="52"/>
  <c r="L11" i="52"/>
  <c r="J5" i="283"/>
  <c r="J28" i="283" s="1"/>
  <c r="R3" i="52"/>
  <c r="M3" i="215"/>
  <c r="H15" i="281"/>
  <c r="J15" i="281" s="1"/>
  <c r="K15" i="281" s="1"/>
  <c r="L15" i="281" s="1"/>
  <c r="M15" i="281" s="1"/>
  <c r="N15" i="281" s="1"/>
  <c r="P14" i="281"/>
  <c r="P2" i="281" s="1"/>
  <c r="J5" i="216"/>
  <c r="J5" i="215"/>
  <c r="H5" i="281"/>
  <c r="H5" i="210"/>
  <c r="H8" i="210" s="1"/>
  <c r="C36" i="283"/>
  <c r="J43" i="281"/>
  <c r="H46" i="281"/>
  <c r="H6" i="281" s="1"/>
  <c r="O30" i="212"/>
  <c r="O39" i="212" s="1"/>
  <c r="G62" i="52"/>
  <c r="G63" i="52" s="1"/>
  <c r="N43" i="52" s="1"/>
  <c r="R28" i="215"/>
  <c r="R2" i="215" s="1"/>
  <c r="L29" i="215"/>
  <c r="M29" i="215" s="1"/>
  <c r="N29" i="215" s="1"/>
  <c r="O29" i="215" s="1"/>
  <c r="P29" i="215" s="1"/>
  <c r="J29" i="215"/>
  <c r="N16" i="52"/>
  <c r="J25" i="215" l="1"/>
  <c r="J28" i="216"/>
  <c r="I10" i="283"/>
  <c r="O7" i="2"/>
  <c r="O13" i="2" s="1"/>
  <c r="L12" i="2"/>
  <c r="L13" i="2"/>
  <c r="R29" i="215"/>
  <c r="R32" i="216"/>
  <c r="E7" i="212"/>
  <c r="E10" i="212" s="1"/>
  <c r="U48" i="52"/>
  <c r="N42" i="52" s="1"/>
  <c r="E22" i="212" s="1"/>
  <c r="J10" i="52"/>
  <c r="J7" i="215"/>
  <c r="J8" i="215" s="1"/>
  <c r="C38" i="283"/>
  <c r="L19" i="52"/>
  <c r="Q34" i="52"/>
  <c r="P35" i="52"/>
  <c r="E36" i="283"/>
  <c r="I13" i="283"/>
  <c r="K5" i="283"/>
  <c r="K28" i="283" s="1"/>
  <c r="S3" i="52"/>
  <c r="H11" i="210"/>
  <c r="N3" i="215"/>
  <c r="J11" i="215"/>
  <c r="J44" i="281"/>
  <c r="K43" i="281" s="1"/>
  <c r="H8" i="281"/>
  <c r="H10" i="281" s="1"/>
  <c r="N56" i="52"/>
  <c r="N58" i="52" s="1"/>
  <c r="N10" i="52"/>
  <c r="P15" i="281"/>
  <c r="O12" i="2" l="1"/>
  <c r="J46" i="281"/>
  <c r="J6" i="281" s="1"/>
  <c r="D24" i="2"/>
  <c r="J11" i="52"/>
  <c r="J18" i="52"/>
  <c r="N60" i="52"/>
  <c r="N30" i="52" s="1"/>
  <c r="P59" i="52"/>
  <c r="H12" i="210"/>
  <c r="H13" i="210" s="1"/>
  <c r="I36" i="283"/>
  <c r="M36" i="283"/>
  <c r="J36" i="283"/>
  <c r="N36" i="283"/>
  <c r="K36" i="283"/>
  <c r="H36" i="283"/>
  <c r="H44" i="283" s="1"/>
  <c r="H47" i="283" s="1"/>
  <c r="L36" i="283"/>
  <c r="R34" i="52"/>
  <c r="Q35" i="52"/>
  <c r="J8" i="216"/>
  <c r="K44" i="281"/>
  <c r="L43" i="281" s="1"/>
  <c r="O3" i="215"/>
  <c r="C39" i="283"/>
  <c r="N11" i="52"/>
  <c r="N18" i="52"/>
  <c r="H11" i="281"/>
  <c r="H12" i="281" s="1"/>
  <c r="L5" i="283"/>
  <c r="L28" i="283" s="1"/>
  <c r="T3" i="52"/>
  <c r="I48" i="283"/>
  <c r="J7" i="283"/>
  <c r="I14" i="283"/>
  <c r="J13" i="215"/>
  <c r="J9" i="215"/>
  <c r="J14" i="216" l="1"/>
  <c r="J27" i="216"/>
  <c r="J10" i="216"/>
  <c r="J11" i="216" s="1"/>
  <c r="H20" i="2"/>
  <c r="H23" i="2" s="1"/>
  <c r="J19" i="52"/>
  <c r="M5" i="283"/>
  <c r="M28" i="283" s="1"/>
  <c r="U3" i="52"/>
  <c r="P3" i="215"/>
  <c r="K46" i="281"/>
  <c r="K6" i="281" s="1"/>
  <c r="J14" i="215"/>
  <c r="C40" i="283"/>
  <c r="L44" i="281"/>
  <c r="M43" i="281" s="1"/>
  <c r="J11" i="283"/>
  <c r="J10" i="283"/>
  <c r="N19" i="52"/>
  <c r="S34" i="52"/>
  <c r="R35" i="52"/>
  <c r="J24" i="215"/>
  <c r="L46" i="281" l="1"/>
  <c r="L6" i="281" s="1"/>
  <c r="N25" i="2"/>
  <c r="O25" i="2"/>
  <c r="T34" i="52"/>
  <c r="S35" i="52"/>
  <c r="R3" i="215"/>
  <c r="J13" i="283"/>
  <c r="M44" i="281"/>
  <c r="N43" i="281" s="1"/>
  <c r="C41" i="283"/>
  <c r="J16" i="216"/>
  <c r="N5" i="283"/>
  <c r="N28" i="283" s="1"/>
  <c r="O27" i="2" l="1"/>
  <c r="K24" i="212" s="1"/>
  <c r="N12" i="212" s="1"/>
  <c r="M46" i="281"/>
  <c r="M6" i="281" s="1"/>
  <c r="N44" i="281"/>
  <c r="P43" i="281" s="1"/>
  <c r="P46" i="281" s="1"/>
  <c r="P6" i="281" s="1"/>
  <c r="C42" i="283"/>
  <c r="J48" i="283"/>
  <c r="J14" i="283"/>
  <c r="K7" i="283"/>
  <c r="J17" i="216"/>
  <c r="U34" i="52"/>
  <c r="U35" i="52" s="1"/>
  <c r="U42" i="52" s="1"/>
  <c r="T35" i="52"/>
  <c r="G14" i="212" l="1"/>
  <c r="E17" i="210" s="1"/>
  <c r="G15" i="212"/>
  <c r="E16" i="281" s="1"/>
  <c r="K16" i="281" s="1"/>
  <c r="G16" i="212"/>
  <c r="G33" i="216" s="1"/>
  <c r="R33" i="216" s="1"/>
  <c r="K11" i="283"/>
  <c r="K10" i="283"/>
  <c r="N46" i="281"/>
  <c r="N6" i="281" s="1"/>
  <c r="O17" i="210" l="1"/>
  <c r="Q24" i="210" s="1"/>
  <c r="K17" i="210"/>
  <c r="N17" i="210"/>
  <c r="J17" i="210"/>
  <c r="M17" i="210"/>
  <c r="H17" i="210"/>
  <c r="L17" i="210"/>
  <c r="M16" i="281"/>
  <c r="Q22" i="210"/>
  <c r="H16" i="281"/>
  <c r="H17" i="281" s="1"/>
  <c r="N33" i="216"/>
  <c r="O33" i="216"/>
  <c r="M33" i="216"/>
  <c r="L33" i="216"/>
  <c r="E30" i="214"/>
  <c r="J33" i="216"/>
  <c r="P16" i="281"/>
  <c r="E37" i="281"/>
  <c r="L16" i="281"/>
  <c r="N16" i="281"/>
  <c r="J16" i="281"/>
  <c r="H18" i="210"/>
  <c r="E34" i="210"/>
  <c r="G30" i="215"/>
  <c r="R30" i="215" s="1"/>
  <c r="P33" i="216"/>
  <c r="K13" i="283"/>
  <c r="L30" i="215" l="1"/>
  <c r="O30" i="215"/>
  <c r="J30" i="215"/>
  <c r="N30" i="215"/>
  <c r="M30" i="215"/>
  <c r="P30" i="215"/>
  <c r="K48" i="283"/>
  <c r="K14" i="283"/>
  <c r="L7" i="283"/>
  <c r="L10" i="283" l="1"/>
  <c r="L11" i="283"/>
  <c r="L13" i="283" l="1"/>
  <c r="L48" i="283" s="1"/>
  <c r="M7" i="283"/>
  <c r="L14" i="283" l="1"/>
  <c r="M10" i="283"/>
  <c r="M11" i="283"/>
  <c r="M13" i="283" l="1"/>
  <c r="M48" i="283" l="1"/>
  <c r="M14" i="283"/>
  <c r="N7" i="283"/>
  <c r="N11" i="283" l="1"/>
  <c r="N10" i="283"/>
  <c r="N13" i="283" l="1"/>
  <c r="N48" i="283" s="1"/>
  <c r="N14" i="283" l="1"/>
  <c r="H50" i="283" l="1"/>
  <c r="L21" i="52" s="1"/>
  <c r="L29" i="52" s="1"/>
  <c r="N21" i="52" l="1"/>
  <c r="N29" i="52" s="1"/>
  <c r="L22" i="52"/>
  <c r="L23" i="52" l="1"/>
  <c r="L25" i="52"/>
  <c r="J19" i="216"/>
  <c r="N22" i="52"/>
  <c r="J16" i="215"/>
  <c r="N25" i="52" l="1"/>
  <c r="N26" i="52" s="1"/>
  <c r="N23" i="52"/>
  <c r="J17" i="215"/>
  <c r="J23" i="215"/>
  <c r="J20" i="216"/>
  <c r="J26" i="216"/>
  <c r="L26" i="52"/>
  <c r="J23" i="216" l="1"/>
  <c r="J24" i="216" s="1"/>
  <c r="J29" i="216" s="1"/>
  <c r="J34" i="216" s="1"/>
  <c r="J21" i="216"/>
  <c r="L32" i="52"/>
  <c r="J18" i="215"/>
  <c r="J20" i="215"/>
  <c r="J21" i="215" s="1"/>
  <c r="J26" i="215" s="1"/>
  <c r="J31" i="215" s="1"/>
  <c r="N32" i="52"/>
  <c r="N36" i="52" l="1"/>
  <c r="P5" i="52" l="1"/>
  <c r="P9" i="52" l="1"/>
  <c r="P6" i="52"/>
  <c r="P56" i="52" s="1"/>
  <c r="P58" i="52" s="1"/>
  <c r="P60" i="52" s="1"/>
  <c r="P30" i="52" s="1"/>
  <c r="L24" i="215" s="1"/>
  <c r="J5" i="281"/>
  <c r="J8" i="281" s="1"/>
  <c r="J10" i="281" s="1"/>
  <c r="P14" i="52"/>
  <c r="P13" i="52"/>
  <c r="P31" i="52"/>
  <c r="J5" i="210"/>
  <c r="J8" i="210" s="1"/>
  <c r="J9" i="210" s="1"/>
  <c r="L5" i="216"/>
  <c r="L8" i="216" s="1"/>
  <c r="L5" i="215"/>
  <c r="P15" i="52"/>
  <c r="Q59" i="52" l="1"/>
  <c r="L27" i="216"/>
  <c r="L14" i="216"/>
  <c r="J11" i="281"/>
  <c r="J12" i="281" s="1"/>
  <c r="J17" i="281" s="1"/>
  <c r="P16" i="52"/>
  <c r="L11" i="215" s="1"/>
  <c r="J11" i="210"/>
  <c r="P10" i="52"/>
  <c r="P11" i="52" s="1"/>
  <c r="L7" i="215"/>
  <c r="L8" i="215" s="1"/>
  <c r="L9" i="215" s="1"/>
  <c r="L25" i="215"/>
  <c r="L28" i="216"/>
  <c r="I30" i="283"/>
  <c r="E37" i="283" s="1"/>
  <c r="J12" i="210" l="1"/>
  <c r="J13" i="210" s="1"/>
  <c r="J18" i="210" s="1"/>
  <c r="P18" i="52"/>
  <c r="K37" i="283"/>
  <c r="N37" i="283"/>
  <c r="I37" i="283"/>
  <c r="I44" i="283" s="1"/>
  <c r="I47" i="283" s="1"/>
  <c r="I50" i="283" s="1"/>
  <c r="P21" i="52" s="1"/>
  <c r="L37" i="283"/>
  <c r="J37" i="283"/>
  <c r="M37" i="283"/>
  <c r="L13" i="215"/>
  <c r="L14" i="215" s="1"/>
  <c r="P19" i="52" l="1"/>
  <c r="L16" i="215"/>
  <c r="P29" i="52"/>
  <c r="L19" i="216"/>
  <c r="P22" i="52"/>
  <c r="P23" i="52" s="1"/>
  <c r="Q5" i="52"/>
  <c r="Q9" i="52" s="1"/>
  <c r="K5" i="210" l="1"/>
  <c r="K8" i="210" s="1"/>
  <c r="K9" i="210" s="1"/>
  <c r="R5" i="52"/>
  <c r="L5" i="210" s="1"/>
  <c r="L8" i="210" s="1"/>
  <c r="K5" i="281"/>
  <c r="K8" i="281" s="1"/>
  <c r="K10" i="281" s="1"/>
  <c r="K11" i="281" s="1"/>
  <c r="M5" i="216"/>
  <c r="M8" i="216" s="1"/>
  <c r="Q14" i="52"/>
  <c r="Q6" i="52"/>
  <c r="Q56" i="52" s="1"/>
  <c r="Q58" i="52" s="1"/>
  <c r="Q60" i="52" s="1"/>
  <c r="Q30" i="52" s="1"/>
  <c r="M24" i="215" s="1"/>
  <c r="P25" i="52"/>
  <c r="P26" i="52" s="1"/>
  <c r="P32" i="52" s="1"/>
  <c r="P36" i="52" s="1"/>
  <c r="L26" i="216"/>
  <c r="M5" i="215"/>
  <c r="Q31" i="52"/>
  <c r="Q13" i="52"/>
  <c r="L5" i="281"/>
  <c r="L8" i="281" s="1"/>
  <c r="L10" i="281" s="1"/>
  <c r="Q15" i="52"/>
  <c r="M7" i="215"/>
  <c r="L23" i="215"/>
  <c r="L17" i="215"/>
  <c r="R31" i="52"/>
  <c r="R6" i="52" l="1"/>
  <c r="R13" i="52"/>
  <c r="R14" i="52"/>
  <c r="K11" i="210"/>
  <c r="M14" i="216"/>
  <c r="M10" i="216"/>
  <c r="R9" i="52"/>
  <c r="N5" i="216"/>
  <c r="N8" i="216" s="1"/>
  <c r="L9" i="210"/>
  <c r="M27" i="216"/>
  <c r="S5" i="52"/>
  <c r="S14" i="52" s="1"/>
  <c r="K12" i="281"/>
  <c r="K17" i="281" s="1"/>
  <c r="N5" i="215"/>
  <c r="M11" i="216"/>
  <c r="Q10" i="52"/>
  <c r="Q11" i="52" s="1"/>
  <c r="R59" i="52"/>
  <c r="L11" i="281"/>
  <c r="L12" i="281" s="1"/>
  <c r="L17" i="281" s="1"/>
  <c r="Q16" i="52"/>
  <c r="M11" i="215" s="1"/>
  <c r="L11" i="210"/>
  <c r="L12" i="210" s="1"/>
  <c r="L13" i="210" s="1"/>
  <c r="L18" i="210" s="1"/>
  <c r="R15" i="52"/>
  <c r="L18" i="215"/>
  <c r="L20" i="215"/>
  <c r="L21" i="215" s="1"/>
  <c r="L26" i="215" s="1"/>
  <c r="L31" i="215" s="1"/>
  <c r="J30" i="283"/>
  <c r="E38" i="283" s="1"/>
  <c r="M28" i="216"/>
  <c r="M25" i="215"/>
  <c r="K12" i="210"/>
  <c r="K13" i="210" s="1"/>
  <c r="K18" i="210" s="1"/>
  <c r="M8" i="215"/>
  <c r="N25" i="215"/>
  <c r="N28" i="216"/>
  <c r="K30" i="283"/>
  <c r="E39" i="283" s="1"/>
  <c r="N7" i="215"/>
  <c r="N8" i="215" s="1"/>
  <c r="R56" i="52"/>
  <c r="R58" i="52" s="1"/>
  <c r="M16" i="216" l="1"/>
  <c r="N14" i="216"/>
  <c r="N10" i="216"/>
  <c r="N11" i="216" s="1"/>
  <c r="N27" i="216"/>
  <c r="S9" i="52"/>
  <c r="S15" i="52"/>
  <c r="S6" i="52"/>
  <c r="S56" i="52" s="1"/>
  <c r="S58" i="52" s="1"/>
  <c r="M5" i="281"/>
  <c r="M8" i="281" s="1"/>
  <c r="M10" i="281" s="1"/>
  <c r="M5" i="210"/>
  <c r="M8" i="210" s="1"/>
  <c r="O5" i="215"/>
  <c r="S31" i="52"/>
  <c r="O5" i="216"/>
  <c r="O8" i="216" s="1"/>
  <c r="T5" i="52"/>
  <c r="S13" i="52"/>
  <c r="Q18" i="52"/>
  <c r="Q19" i="52" s="1"/>
  <c r="R16" i="52"/>
  <c r="N11" i="215" s="1"/>
  <c r="N13" i="215" s="1"/>
  <c r="R10" i="52"/>
  <c r="R11" i="52" s="1"/>
  <c r="L38" i="283"/>
  <c r="J38" i="283"/>
  <c r="J44" i="283" s="1"/>
  <c r="J47" i="283" s="1"/>
  <c r="J50" i="283" s="1"/>
  <c r="Q21" i="52" s="1"/>
  <c r="N38" i="283"/>
  <c r="K38" i="283"/>
  <c r="M38" i="283"/>
  <c r="M9" i="215"/>
  <c r="M13" i="215"/>
  <c r="T59" i="52"/>
  <c r="N39" i="283"/>
  <c r="K39" i="283"/>
  <c r="L39" i="283"/>
  <c r="M39" i="283"/>
  <c r="M17" i="216"/>
  <c r="N9" i="215"/>
  <c r="R60" i="52"/>
  <c r="R30" i="52" s="1"/>
  <c r="N24" i="215" s="1"/>
  <c r="S59" i="52"/>
  <c r="S60" i="52" s="1"/>
  <c r="S30" i="52" s="1"/>
  <c r="O24" i="215" s="1"/>
  <c r="N16" i="216" l="1"/>
  <c r="N17" i="216" s="1"/>
  <c r="O14" i="216"/>
  <c r="O10" i="216"/>
  <c r="O11" i="216" s="1"/>
  <c r="T9" i="52"/>
  <c r="T15" i="52"/>
  <c r="M11" i="281"/>
  <c r="M12" i="281" s="1"/>
  <c r="M17" i="281" s="1"/>
  <c r="S16" i="52"/>
  <c r="O11" i="215" s="1"/>
  <c r="T13" i="52"/>
  <c r="O28" i="216"/>
  <c r="O25" i="215"/>
  <c r="L30" i="283"/>
  <c r="E40" i="283" s="1"/>
  <c r="Q22" i="52"/>
  <c r="Q23" i="52" s="1"/>
  <c r="O27" i="216"/>
  <c r="T6" i="52"/>
  <c r="T56" i="52" s="1"/>
  <c r="T58" i="52" s="1"/>
  <c r="U59" i="52" s="1"/>
  <c r="P5" i="216"/>
  <c r="P8" i="216" s="1"/>
  <c r="P5" i="215"/>
  <c r="T31" i="52"/>
  <c r="N5" i="281"/>
  <c r="N8" i="281" s="1"/>
  <c r="N10" i="281" s="1"/>
  <c r="N5" i="210"/>
  <c r="N8" i="210" s="1"/>
  <c r="M11" i="210"/>
  <c r="M9" i="210"/>
  <c r="T14" i="52"/>
  <c r="R18" i="52"/>
  <c r="R19" i="52" s="1"/>
  <c r="K44" i="283"/>
  <c r="K47" i="283" s="1"/>
  <c r="K50" i="283" s="1"/>
  <c r="R21" i="52" s="1"/>
  <c r="R29" i="52" s="1"/>
  <c r="M14" i="215"/>
  <c r="M16" i="215"/>
  <c r="M23" i="215" s="1"/>
  <c r="Q29" i="52"/>
  <c r="M19" i="216"/>
  <c r="O7" i="215"/>
  <c r="O8" i="215" s="1"/>
  <c r="S10" i="52"/>
  <c r="N14" i="215"/>
  <c r="Q25" i="52" l="1"/>
  <c r="Q26" i="52" s="1"/>
  <c r="P14" i="216"/>
  <c r="P10" i="216"/>
  <c r="P11" i="216" s="1"/>
  <c r="T60" i="52"/>
  <c r="T30" i="52" s="1"/>
  <c r="P24" i="215" s="1"/>
  <c r="T16" i="52"/>
  <c r="P11" i="215" s="1"/>
  <c r="O16" i="216"/>
  <c r="O17" i="216" s="1"/>
  <c r="N11" i="281"/>
  <c r="N12" i="281" s="1"/>
  <c r="N17" i="281" s="1"/>
  <c r="N40" i="283"/>
  <c r="M40" i="283"/>
  <c r="L40" i="283"/>
  <c r="L44" i="283" s="1"/>
  <c r="L47" i="283" s="1"/>
  <c r="L50" i="283" s="1"/>
  <c r="S21" i="52" s="1"/>
  <c r="O16" i="215" s="1"/>
  <c r="O23" i="215" s="1"/>
  <c r="N9" i="210"/>
  <c r="N11" i="210"/>
  <c r="M30" i="283"/>
  <c r="E41" i="283" s="1"/>
  <c r="P28" i="216"/>
  <c r="P25" i="215"/>
  <c r="P27" i="216"/>
  <c r="M12" i="210"/>
  <c r="M13" i="210" s="1"/>
  <c r="M18" i="210" s="1"/>
  <c r="N19" i="216"/>
  <c r="N26" i="216" s="1"/>
  <c r="R22" i="52"/>
  <c r="R25" i="52" s="1"/>
  <c r="R26" i="52" s="1"/>
  <c r="R32" i="52" s="1"/>
  <c r="R36" i="52" s="1"/>
  <c r="N16" i="215"/>
  <c r="Q32" i="52"/>
  <c r="Q36" i="52" s="1"/>
  <c r="M17" i="215"/>
  <c r="M26" i="216"/>
  <c r="M20" i="216"/>
  <c r="P7" i="215"/>
  <c r="P8" i="215" s="1"/>
  <c r="T10" i="52"/>
  <c r="O13" i="215"/>
  <c r="O9" i="215"/>
  <c r="S18" i="52"/>
  <c r="S11" i="52"/>
  <c r="R23" i="52" l="1"/>
  <c r="O19" i="216"/>
  <c r="S29" i="52"/>
  <c r="N20" i="216"/>
  <c r="N23" i="216" s="1"/>
  <c r="N24" i="216" s="1"/>
  <c r="N29" i="216" s="1"/>
  <c r="N34" i="216" s="1"/>
  <c r="M41" i="283"/>
  <c r="M44" i="283" s="1"/>
  <c r="M47" i="283" s="1"/>
  <c r="M50" i="283" s="1"/>
  <c r="T21" i="52" s="1"/>
  <c r="R16" i="215" s="1"/>
  <c r="N41" i="283"/>
  <c r="P16" i="216"/>
  <c r="P17" i="216" s="1"/>
  <c r="N12" i="210"/>
  <c r="N13" i="210" s="1"/>
  <c r="N18" i="210" s="1"/>
  <c r="N23" i="215"/>
  <c r="N17" i="215"/>
  <c r="M21" i="216"/>
  <c r="M23" i="216"/>
  <c r="M24" i="216" s="1"/>
  <c r="M29" i="216" s="1"/>
  <c r="M34" i="216" s="1"/>
  <c r="M20" i="215"/>
  <c r="M21" i="215" s="1"/>
  <c r="M26" i="215" s="1"/>
  <c r="M31" i="215" s="1"/>
  <c r="M18" i="215"/>
  <c r="S19" i="52"/>
  <c r="S22" i="52"/>
  <c r="O17" i="215"/>
  <c r="O14" i="215"/>
  <c r="T18" i="52"/>
  <c r="T11" i="52"/>
  <c r="P13" i="215"/>
  <c r="P9" i="215"/>
  <c r="R9" i="215" s="1"/>
  <c r="N21" i="216" l="1"/>
  <c r="T29" i="52"/>
  <c r="P19" i="216"/>
  <c r="P26" i="216" s="1"/>
  <c r="P16" i="215"/>
  <c r="P23" i="215" s="1"/>
  <c r="O26" i="216"/>
  <c r="O20" i="216"/>
  <c r="N20" i="215"/>
  <c r="N21" i="215" s="1"/>
  <c r="N26" i="215" s="1"/>
  <c r="N31" i="215" s="1"/>
  <c r="N18" i="215"/>
  <c r="T22" i="52"/>
  <c r="T19" i="52"/>
  <c r="P14" i="215"/>
  <c r="R14" i="215" s="1"/>
  <c r="S23" i="52"/>
  <c r="S25" i="52"/>
  <c r="S26" i="52" s="1"/>
  <c r="S32" i="52" s="1"/>
  <c r="S36" i="52" s="1"/>
  <c r="O18" i="215"/>
  <c r="O20" i="215"/>
  <c r="O21" i="215" s="1"/>
  <c r="O26" i="215" s="1"/>
  <c r="O31" i="215" s="1"/>
  <c r="P20" i="216" l="1"/>
  <c r="P21" i="216" s="1"/>
  <c r="P17" i="215"/>
  <c r="P20" i="215" s="1"/>
  <c r="P21" i="215" s="1"/>
  <c r="P26" i="215" s="1"/>
  <c r="P31" i="215" s="1"/>
  <c r="O23" i="216"/>
  <c r="O24" i="216" s="1"/>
  <c r="O29" i="216" s="1"/>
  <c r="O34" i="216" s="1"/>
  <c r="O21" i="216"/>
  <c r="T23" i="52"/>
  <c r="T25" i="52"/>
  <c r="T26" i="52" s="1"/>
  <c r="T32" i="52" s="1"/>
  <c r="T36" i="52" s="1"/>
  <c r="U5" i="52"/>
  <c r="P18" i="215" l="1"/>
  <c r="U9" i="52"/>
  <c r="R5" i="215"/>
  <c r="R5" i="216"/>
  <c r="P23" i="216"/>
  <c r="P24" i="216" s="1"/>
  <c r="P29" i="216" s="1"/>
  <c r="P34" i="216" s="1"/>
  <c r="W9" i="52"/>
  <c r="U31" i="52"/>
  <c r="N30" i="283" s="1"/>
  <c r="E42" i="283" s="1"/>
  <c r="N42" i="283" s="1"/>
  <c r="N44" i="283" s="1"/>
  <c r="N47" i="283" s="1"/>
  <c r="N50" i="283" s="1"/>
  <c r="U21" i="52" s="1"/>
  <c r="W5" i="52"/>
  <c r="W31" i="52" s="1"/>
  <c r="W21" i="52" s="1"/>
  <c r="W29" i="52" s="1"/>
  <c r="U13" i="52"/>
  <c r="W13" i="52" s="1"/>
  <c r="O5" i="210"/>
  <c r="O8" i="210" s="1"/>
  <c r="O9" i="210" s="1"/>
  <c r="U15" i="52"/>
  <c r="W15" i="52" s="1"/>
  <c r="P5" i="281"/>
  <c r="P8" i="281" s="1"/>
  <c r="P10" i="281" s="1"/>
  <c r="P11" i="281" s="1"/>
  <c r="P12" i="281" s="1"/>
  <c r="P17" i="281" s="1"/>
  <c r="H19" i="281" s="1"/>
  <c r="U14" i="52"/>
  <c r="W14" i="52" s="1"/>
  <c r="U6" i="52"/>
  <c r="U56" i="52" s="1"/>
  <c r="U58" i="52" s="1"/>
  <c r="W59" i="52" s="1"/>
  <c r="R8" i="216"/>
  <c r="R28" i="216" s="1"/>
  <c r="R7" i="215" l="1"/>
  <c r="R8" i="215" s="1"/>
  <c r="R25" i="215"/>
  <c r="R13" i="215"/>
  <c r="U29" i="52"/>
  <c r="R19" i="216"/>
  <c r="R26" i="216" s="1"/>
  <c r="R14" i="216"/>
  <c r="R10" i="216"/>
  <c r="R11" i="216" s="1"/>
  <c r="R24" i="215"/>
  <c r="U60" i="52"/>
  <c r="U30" i="52" s="1"/>
  <c r="Q5" i="210"/>
  <c r="Q8" i="210" s="1"/>
  <c r="W6" i="52"/>
  <c r="W56" i="52" s="1"/>
  <c r="W58" i="52" s="1"/>
  <c r="W60" i="52" s="1"/>
  <c r="W30" i="52" s="1"/>
  <c r="R23" i="215"/>
  <c r="W16" i="52"/>
  <c r="U16" i="52"/>
  <c r="U10" i="52"/>
  <c r="O11" i="210"/>
  <c r="O12" i="210" s="1"/>
  <c r="O13" i="210" s="1"/>
  <c r="O18" i="210" s="1"/>
  <c r="R27" i="216"/>
  <c r="E35" i="281"/>
  <c r="E39" i="281" s="1"/>
  <c r="H20" i="281" s="1"/>
  <c r="H21" i="281" s="1"/>
  <c r="H23" i="281" s="1"/>
  <c r="R16" i="216" l="1"/>
  <c r="Q11" i="210"/>
  <c r="Q12" i="210" s="1"/>
  <c r="Q13" i="210" s="1"/>
  <c r="Q21" i="210" s="1"/>
  <c r="Q23" i="210" s="1"/>
  <c r="Q25" i="210" s="1"/>
  <c r="H20" i="210" s="1"/>
  <c r="E32" i="210" s="1"/>
  <c r="E36" i="210" s="1"/>
  <c r="H21" i="210" s="1"/>
  <c r="H22" i="210" s="1"/>
  <c r="H24" i="210" s="1"/>
  <c r="Q9" i="210"/>
  <c r="R11" i="215"/>
  <c r="W10" i="52"/>
  <c r="W11" i="52" s="1"/>
  <c r="R20" i="216"/>
  <c r="R21" i="216" s="1"/>
  <c r="U11" i="52"/>
  <c r="U18" i="52"/>
  <c r="F18" i="213"/>
  <c r="H18" i="213" s="1"/>
  <c r="E15" i="212"/>
  <c r="W18" i="52" l="1"/>
  <c r="R17" i="216"/>
  <c r="U22" i="52"/>
  <c r="U19" i="52"/>
  <c r="F17" i="213"/>
  <c r="E14" i="212"/>
  <c r="R23" i="216"/>
  <c r="R24" i="216" s="1"/>
  <c r="R29" i="216" s="1"/>
  <c r="R34" i="216" s="1"/>
  <c r="W19" i="52" l="1"/>
  <c r="W22" i="52"/>
  <c r="U23" i="52"/>
  <c r="U25" i="52"/>
  <c r="U26" i="52" s="1"/>
  <c r="U32" i="52" s="1"/>
  <c r="U36" i="52" s="1"/>
  <c r="N38" i="52" s="1"/>
  <c r="H17" i="213"/>
  <c r="W23" i="52" l="1"/>
  <c r="W25" i="52"/>
  <c r="W26" i="52" s="1"/>
  <c r="W32" i="52" s="1"/>
  <c r="U39" i="52" s="1"/>
  <c r="U41" i="52" s="1"/>
  <c r="U43" i="52" s="1"/>
  <c r="N39" i="52" s="1"/>
  <c r="N40" i="52" s="1"/>
  <c r="N44" i="52" s="1"/>
  <c r="N46" i="52" s="1"/>
  <c r="R17" i="215" l="1"/>
  <c r="R18" i="215" s="1"/>
  <c r="R20" i="215" l="1"/>
  <c r="R21" i="215" s="1"/>
  <c r="R26" i="215" s="1"/>
  <c r="R31" i="215" s="1"/>
  <c r="J33" i="215" s="1"/>
  <c r="I5" i="214" s="1"/>
  <c r="L10" i="216" l="1"/>
  <c r="L11" i="216" s="1"/>
  <c r="L16" i="216" s="1"/>
  <c r="L20" i="216" l="1"/>
  <c r="L17" i="216"/>
  <c r="L21" i="216" l="1"/>
  <c r="L23" i="216"/>
  <c r="L24" i="216" s="1"/>
  <c r="L29" i="216" s="1"/>
  <c r="L34" i="216" s="1"/>
  <c r="J36" i="216" s="1"/>
  <c r="I7" i="214" s="1"/>
  <c r="I9" i="214" s="1"/>
  <c r="I13" i="214" s="1"/>
  <c r="E28" i="214" s="1"/>
  <c r="E32" i="214" s="1"/>
  <c r="I15" i="214" s="1"/>
  <c r="I17" i="214" s="1"/>
  <c r="I19" i="214" s="1"/>
  <c r="E16" i="212" l="1"/>
  <c r="E17" i="212" s="1"/>
  <c r="F19" i="213"/>
  <c r="H19" i="213" l="1"/>
  <c r="H20" i="213" s="1"/>
  <c r="F20" i="213"/>
  <c r="F22" i="213" s="1"/>
  <c r="E19" i="212" s="1"/>
  <c r="H22" i="213" l="1"/>
  <c r="F24" i="213"/>
  <c r="H24" i="213" s="1"/>
  <c r="O36" i="212"/>
  <c r="O40" i="212" s="1"/>
  <c r="E20" i="212" l="1"/>
  <c r="E23" i="212"/>
  <c r="I19" i="212" l="1"/>
  <c r="K19" i="212" s="1"/>
  <c r="I10" i="212"/>
  <c r="I14" i="212"/>
  <c r="K14" i="212" s="1"/>
  <c r="I16" i="212"/>
  <c r="K16" i="212" s="1"/>
  <c r="I9" i="212"/>
  <c r="K9" i="212" s="1"/>
  <c r="I8" i="212"/>
  <c r="K8" i="212" s="1"/>
  <c r="I17" i="212"/>
  <c r="I7" i="212"/>
  <c r="K7" i="212" s="1"/>
  <c r="I15" i="212"/>
  <c r="K15" i="212" s="1"/>
  <c r="K10" i="212" l="1"/>
  <c r="K17" i="212"/>
  <c r="I20" i="212"/>
  <c r="K20" i="212" l="1"/>
  <c r="K22" i="212" s="1"/>
</calcChain>
</file>

<file path=xl/sharedStrings.xml><?xml version="1.0" encoding="utf-8"?>
<sst xmlns="http://schemas.openxmlformats.org/spreadsheetml/2006/main" count="442" uniqueCount="286">
  <si>
    <t>Subject Effective Tax Rate</t>
  </si>
  <si>
    <t>Ticker</t>
  </si>
  <si>
    <t>Gross Profit</t>
  </si>
  <si>
    <t>Premium</t>
  </si>
  <si>
    <t>Stock Price</t>
  </si>
  <si>
    <t xml:space="preserve"> </t>
  </si>
  <si>
    <t>Declining Balance</t>
  </si>
  <si>
    <t>EBITDA Margin</t>
  </si>
  <si>
    <t>Acquisition Year</t>
  </si>
  <si>
    <t>Federal Tax Rate</t>
  </si>
  <si>
    <t>State Tax Rate</t>
  </si>
  <si>
    <t>Value</t>
  </si>
  <si>
    <t>EBITDA</t>
  </si>
  <si>
    <t>Operating Income (EBIT)</t>
  </si>
  <si>
    <t>Debt-Free Net Income</t>
  </si>
  <si>
    <t>Capital Expenditures</t>
  </si>
  <si>
    <t>Exhibit</t>
  </si>
  <si>
    <t>Weighted Average Cost Of Capital</t>
  </si>
  <si>
    <t>Income Taxes</t>
  </si>
  <si>
    <t>Selected</t>
  </si>
  <si>
    <t>Company Name</t>
  </si>
  <si>
    <t>Valuation Date</t>
  </si>
  <si>
    <t>EBIT margin</t>
  </si>
  <si>
    <t>First Year of Projections</t>
  </si>
  <si>
    <t>Minority Interest</t>
  </si>
  <si>
    <t>Notes:</t>
  </si>
  <si>
    <t>Available Free Cash Flow</t>
  </si>
  <si>
    <t>Business Enterprise Value</t>
  </si>
  <si>
    <t>Mid-Year Period</t>
  </si>
  <si>
    <t>Present Value Factor</t>
  </si>
  <si>
    <t>Present Value of Available Cash Flows</t>
  </si>
  <si>
    <t>Sum of Present Value of Cash Flows</t>
  </si>
  <si>
    <t>Present Value of Terminal Year</t>
  </si>
  <si>
    <t>Operating Expenses</t>
  </si>
  <si>
    <t>Tax Rate</t>
  </si>
  <si>
    <t>Total</t>
  </si>
  <si>
    <t>Declining Balance Method Depreciation</t>
  </si>
  <si>
    <t>Straight Line Method Depreciation</t>
  </si>
  <si>
    <t>Revenue</t>
  </si>
  <si>
    <t>Portion of year remaining</t>
  </si>
  <si>
    <t>Total Assets</t>
  </si>
  <si>
    <t>Average</t>
  </si>
  <si>
    <t>Median</t>
  </si>
  <si>
    <t>EBITDA margin</t>
  </si>
  <si>
    <t>Depreciation</t>
  </si>
  <si>
    <t>Description</t>
  </si>
  <si>
    <t>LTM</t>
  </si>
  <si>
    <t>WACC</t>
  </si>
  <si>
    <t>Total Revenue</t>
  </si>
  <si>
    <t>Terminal Year Cash Flow</t>
  </si>
  <si>
    <t>Residual Calculation</t>
  </si>
  <si>
    <t>Capitalization Rate</t>
  </si>
  <si>
    <t>Cash Flow After Terminal Year</t>
  </si>
  <si>
    <t>Excess/(Deficit) Working Capital</t>
  </si>
  <si>
    <t>Capitalization rate is equal to the discount rate less the long-term growth rate.</t>
  </si>
  <si>
    <t>Add:  Depreciation</t>
  </si>
  <si>
    <t>Terminal</t>
  </si>
  <si>
    <t>Year</t>
  </si>
  <si>
    <t>Discount Rate</t>
  </si>
  <si>
    <t>Depreciation Expense</t>
  </si>
  <si>
    <t>Less: Capital Expenditures</t>
  </si>
  <si>
    <t>Cost of Goods Sold</t>
  </si>
  <si>
    <t>Total Operating Expenses</t>
  </si>
  <si>
    <t>Gross Profit Margin</t>
  </si>
  <si>
    <t>Notes</t>
  </si>
  <si>
    <t>Total Company Revenue</t>
  </si>
  <si>
    <t>Net Revenue Growth Rate</t>
  </si>
  <si>
    <t>Based on our discussions with and projections provided by Management.</t>
  </si>
  <si>
    <t xml:space="preserve">Royalty rate estimated through RoyaltySource Intellectual Property Database, discussions with Management and other relevant factors.   </t>
  </si>
  <si>
    <t>Assumptions</t>
  </si>
  <si>
    <t>Long-Term Growth Rate</t>
  </si>
  <si>
    <t>Present Value of Cash Flows</t>
  </si>
  <si>
    <t>Amortization Period (Years)</t>
  </si>
  <si>
    <t>Decay Factor</t>
  </si>
  <si>
    <t>Calculation of Required Rate of Return on Assets</t>
  </si>
  <si>
    <t>After Tax Required Rate of Return</t>
  </si>
  <si>
    <t>Allocation</t>
  </si>
  <si>
    <t>Tangible Assets</t>
  </si>
  <si>
    <t>Premium over Prime Rate</t>
  </si>
  <si>
    <t>Total Tangible Assets</t>
  </si>
  <si>
    <t>Base</t>
  </si>
  <si>
    <t>Identified Intangible Assets</t>
  </si>
  <si>
    <t>Total Identified Intangible Assets</t>
  </si>
  <si>
    <t>Implied Goodwill</t>
  </si>
  <si>
    <t>IRR</t>
  </si>
  <si>
    <t>Prime Rate</t>
  </si>
  <si>
    <t>Intangible Assets</t>
  </si>
  <si>
    <t>Indefinite</t>
  </si>
  <si>
    <t>Total Intangible Assets</t>
  </si>
  <si>
    <t>Based on the purchase agreement and information provided by Management.</t>
  </si>
  <si>
    <t>Probability of Competition</t>
  </si>
  <si>
    <t>Tax Benefit of Amortization</t>
  </si>
  <si>
    <t>Net Revenue</t>
  </si>
  <si>
    <t>Probable Percent Loss in Revenues</t>
  </si>
  <si>
    <t>Adjusted Revenues</t>
  </si>
  <si>
    <t>Gross Margin</t>
  </si>
  <si>
    <t>EBIT as a % of Revenue</t>
  </si>
  <si>
    <t>Working Capital Investment</t>
  </si>
  <si>
    <t>Available Cash Flow</t>
  </si>
  <si>
    <t>Transaction Type</t>
  </si>
  <si>
    <t>Rate</t>
  </si>
  <si>
    <t>Present Value of Royalty Savings</t>
  </si>
  <si>
    <t>After-Tax Royalty Savings</t>
  </si>
  <si>
    <t>Inflation</t>
  </si>
  <si>
    <t>ABC Corporation</t>
  </si>
  <si>
    <t>Target Company Name</t>
  </si>
  <si>
    <t>N/A</t>
  </si>
  <si>
    <t>Technology</t>
  </si>
  <si>
    <t>Indicated</t>
  </si>
  <si>
    <t xml:space="preserve">Fair Value </t>
  </si>
  <si>
    <t>(Years)</t>
  </si>
  <si>
    <t>Weighted Average Return on Assets</t>
  </si>
  <si>
    <t>Noncompete Agreement (With Agreements in Place)</t>
  </si>
  <si>
    <t>Noncompete Agreement (Without Agreements in Place)</t>
  </si>
  <si>
    <t>Noncompete Agreement</t>
  </si>
  <si>
    <t>WARA</t>
  </si>
  <si>
    <t>Purchase Consideration</t>
  </si>
  <si>
    <t>Purchase Consideration to be Allocated</t>
  </si>
  <si>
    <t>Internal Rate of Return Analysis</t>
  </si>
  <si>
    <t>A</t>
  </si>
  <si>
    <t>B</t>
  </si>
  <si>
    <t>C</t>
  </si>
  <si>
    <t>D</t>
  </si>
  <si>
    <t>E</t>
  </si>
  <si>
    <t>F</t>
  </si>
  <si>
    <t>G</t>
  </si>
  <si>
    <t>H</t>
  </si>
  <si>
    <t>Assumed Debt</t>
  </si>
  <si>
    <t>Methodology</t>
  </si>
  <si>
    <t>Note:</t>
  </si>
  <si>
    <t>Relief from Royalty</t>
  </si>
  <si>
    <t>With and Without</t>
  </si>
  <si>
    <t>Less: Net Working Capital Investment</t>
  </si>
  <si>
    <t>Calculation of Net Working Capital</t>
  </si>
  <si>
    <t>Actual Net Working Capital</t>
  </si>
  <si>
    <t xml:space="preserve">Required Net Working Capital </t>
  </si>
  <si>
    <t>Add: Excess/(Deficit) Working Capital</t>
  </si>
  <si>
    <t>1 = nontaxable, 2 = taxable</t>
  </si>
  <si>
    <t>Implied Goodwill (Excluding Assembled Workforce)</t>
  </si>
  <si>
    <t>Agreement</t>
  </si>
  <si>
    <t>Total Purchase Consideration</t>
  </si>
  <si>
    <t>Latest Fiscal Year End</t>
  </si>
  <si>
    <t>Trailing Twelve Months End</t>
  </si>
  <si>
    <t>Net Non-Current Assets</t>
  </si>
  <si>
    <t>Trade Name and Trademarks</t>
  </si>
  <si>
    <t>Beginning of Year</t>
  </si>
  <si>
    <t>End of Year</t>
  </si>
  <si>
    <t>Decay</t>
  </si>
  <si>
    <t>RUL</t>
  </si>
  <si>
    <t>Decay factor based on information provided by and discussions with Management.</t>
  </si>
  <si>
    <t>Based on information provided by and discussions with Management.</t>
  </si>
  <si>
    <t>Sales and Marketing Expense</t>
  </si>
  <si>
    <t>General and Administrative</t>
  </si>
  <si>
    <t>Research and Development</t>
  </si>
  <si>
    <t>Projected Year Ending December 31,</t>
  </si>
  <si>
    <t>Annual Depreciation Expense</t>
  </si>
  <si>
    <t>Existing Net Asset Balance</t>
  </si>
  <si>
    <t>Remaining Useful Life at Beginning of Year</t>
  </si>
  <si>
    <t>Estimated Depreciation of Existing Assets</t>
  </si>
  <si>
    <t>Existing Net Asset Balance at End of Year</t>
  </si>
  <si>
    <t>Average Life of Existing Assets</t>
  </si>
  <si>
    <t>Projected Capital Expenditure Allocation</t>
  </si>
  <si>
    <t xml:space="preserve">Five Year Property (Office Machinery &amp; Software)  </t>
  </si>
  <si>
    <t>Total Capital Expenditures</t>
  </si>
  <si>
    <t>Depreciation Percentage</t>
  </si>
  <si>
    <t>Addition</t>
  </si>
  <si>
    <t>Total Five Year Property Depreciation</t>
  </si>
  <si>
    <t>Total Depreciation of Projected Capital Expenditures</t>
  </si>
  <si>
    <t>Plus:  Depreciation of Existing Fixed Assets</t>
  </si>
  <si>
    <t>Equals: Total Depreciation</t>
  </si>
  <si>
    <t>Shares Outstanding</t>
  </si>
  <si>
    <t>Market Value of Equity</t>
  </si>
  <si>
    <t>Interest
Bearing Debt</t>
  </si>
  <si>
    <t>Preferred Stock</t>
  </si>
  <si>
    <t>Market Value of Capital</t>
  </si>
  <si>
    <t>Debt to Capital</t>
  </si>
  <si>
    <t>Equity to Capital</t>
  </si>
  <si>
    <t>Effective 
Tax Rate</t>
  </si>
  <si>
    <t>Levered Beta (1)</t>
  </si>
  <si>
    <t>Unlevered Beta</t>
  </si>
  <si>
    <t>Target Equity to Capital Weight</t>
  </si>
  <si>
    <t>Combined Effective Tax Rate</t>
  </si>
  <si>
    <t>Target Debt to Capital Weight</t>
  </si>
  <si>
    <t>Levered Beta</t>
  </si>
  <si>
    <t>Target Preferred Stock to Capital Weight</t>
  </si>
  <si>
    <t>Target Minority Interest to Capital Weight</t>
  </si>
  <si>
    <t>Subject Tax Rate</t>
  </si>
  <si>
    <t>Weighted</t>
  </si>
  <si>
    <t>Equity to Capital Weight</t>
  </si>
  <si>
    <t>Debt to Capital Weight</t>
  </si>
  <si>
    <t>Represents a two-year weekly historical beta, utilizing the S&amp;P 500 as a proxy for the market.</t>
  </si>
  <si>
    <t>Based on twenty-year Treasury constant security as of the Valuation Date.</t>
  </si>
  <si>
    <t xml:space="preserve">Moody's Baa corporate rated bond as of the Valuation Date.  </t>
  </si>
  <si>
    <t>Fair Value</t>
  </si>
  <si>
    <t>Pre-Tax Royalty Savings</t>
  </si>
  <si>
    <t>Equity</t>
  </si>
  <si>
    <t>Present value of tax benefit of amortization calculated in accordance with Internal Revenue Code Section 197 using an asset-specific discount rate.</t>
  </si>
  <si>
    <t>Purchase Price</t>
  </si>
  <si>
    <t>Add: Excess/(Deficit) Working Capital (1)</t>
  </si>
  <si>
    <t>Operating Expenses:</t>
  </si>
  <si>
    <t>Free Cash Flow Adjustments:</t>
  </si>
  <si>
    <t>Relevered Beta:</t>
  </si>
  <si>
    <t>Cost of Equity:</t>
  </si>
  <si>
    <t>Cost of Debt:</t>
  </si>
  <si>
    <t>Capital Structure and WACC:</t>
  </si>
  <si>
    <t>Projected</t>
  </si>
  <si>
    <t>na</t>
  </si>
  <si>
    <t>3 Years</t>
  </si>
  <si>
    <t>Long Term Growth Rate</t>
  </si>
  <si>
    <t>Risk Free Rate</t>
  </si>
  <si>
    <t xml:space="preserve">Percent of </t>
  </si>
  <si>
    <t>Total RUL</t>
  </si>
  <si>
    <t>Present Value of Available Cash Flows (Rounded)</t>
  </si>
  <si>
    <t xml:space="preserve">Growth Rate </t>
  </si>
  <si>
    <t>Projected Revenue</t>
  </si>
  <si>
    <t>Required Working Capital %</t>
  </si>
  <si>
    <t xml:space="preserve">Required Working Capital </t>
  </si>
  <si>
    <t>Previous Year Normalized Working Capital</t>
  </si>
  <si>
    <t>Change in Working Capital</t>
  </si>
  <si>
    <t>Partial Period Adjustment</t>
  </si>
  <si>
    <t>Change in Working Capital Investment</t>
  </si>
  <si>
    <t xml:space="preserve">Partial Period Adjustment </t>
  </si>
  <si>
    <t>Customer Attrition Rate</t>
  </si>
  <si>
    <t>Acquirer Company Name</t>
  </si>
  <si>
    <t>Non-compete</t>
  </si>
  <si>
    <t>Depreciation of Existing Asset Balance</t>
  </si>
  <si>
    <t>Depreciation of Capital Expenditures</t>
  </si>
  <si>
    <t>MACRS - Five Year Property</t>
  </si>
  <si>
    <t>5 Years MACRS - Depreciation Percentage (Half Year Convention)</t>
  </si>
  <si>
    <t>Operating Working Capital</t>
  </si>
  <si>
    <t>Total Revenue Associated with Trade Name and Trademarks</t>
  </si>
  <si>
    <t>Summary</t>
  </si>
  <si>
    <t>XYZ Corporation</t>
  </si>
  <si>
    <t>As of (1)</t>
  </si>
  <si>
    <t>Current Assets</t>
  </si>
  <si>
    <t>Cash and Cash Equivalents</t>
  </si>
  <si>
    <t>Accounts Receivable</t>
  </si>
  <si>
    <t>Prepaid Expenses and Other Current Assets</t>
  </si>
  <si>
    <t>Total Current Assets</t>
  </si>
  <si>
    <t>Long-Term Assets</t>
  </si>
  <si>
    <t>Property and Equipment, Net</t>
  </si>
  <si>
    <t>Other Assets</t>
  </si>
  <si>
    <t>Goodwill and Other Intangibles</t>
  </si>
  <si>
    <t>Total Long-Term Assets</t>
  </si>
  <si>
    <t>Current Liabilities</t>
  </si>
  <si>
    <t>Current Portion of Long-term Debt</t>
  </si>
  <si>
    <t>Accounts Payable</t>
  </si>
  <si>
    <t>Total Current Liabilities</t>
  </si>
  <si>
    <t>Non-Current Liabilities</t>
  </si>
  <si>
    <t>Long-Term Debt</t>
  </si>
  <si>
    <t>Other Long-Term Liabilities</t>
  </si>
  <si>
    <t>Total Non-Current Liabilities</t>
  </si>
  <si>
    <t>Total Liabilities</t>
  </si>
  <si>
    <t>Shareholders Equity</t>
  </si>
  <si>
    <t>Total Liabilities and Shareholders Equity</t>
  </si>
  <si>
    <t>Working Capital</t>
  </si>
  <si>
    <t>Total Interest-Bearing Debt</t>
  </si>
  <si>
    <t>Financial statements are provided by Management.</t>
  </si>
  <si>
    <t>Net Non-Current Assets  = Long-Term Assets excluding Property and Equipment and Goodwill and Other Intangibles less Non-Current Liabilities excluding Long-Term Debt</t>
  </si>
  <si>
    <t>Fiscal Year Ended (1)</t>
  </si>
  <si>
    <t>LTM (1)</t>
  </si>
  <si>
    <t>Revenue Growth</t>
  </si>
  <si>
    <t>NA</t>
  </si>
  <si>
    <t>Cost of Revenue</t>
  </si>
  <si>
    <t>Less: Depreciation and Amortization</t>
  </si>
  <si>
    <t>EBIT</t>
  </si>
  <si>
    <t>Adjusted EBITDA</t>
  </si>
  <si>
    <t>Provided by Management.</t>
  </si>
  <si>
    <t xml:space="preserve">Per the March 31, 2020 balance sheet. </t>
  </si>
  <si>
    <t>Small Stock Premium (SSP)</t>
  </si>
  <si>
    <r>
      <t>Risk-free Rate (R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) (2)</t>
    </r>
  </si>
  <si>
    <r>
      <t xml:space="preserve">  </t>
    </r>
    <r>
      <rPr>
        <b/>
        <sz val="11"/>
        <rFont val="Calibri"/>
        <family val="2"/>
        <scheme val="minor"/>
      </rPr>
      <t>Calculated Beta</t>
    </r>
  </si>
  <si>
    <t xml:space="preserve">  Calculated WACC</t>
  </si>
  <si>
    <r>
      <t xml:space="preserve">  </t>
    </r>
    <r>
      <rPr>
        <b/>
        <sz val="11"/>
        <rFont val="Calibri"/>
        <family val="2"/>
        <scheme val="minor"/>
      </rPr>
      <t>Calculated Cost of Debt</t>
    </r>
  </si>
  <si>
    <t xml:space="preserve">Specific Risk Premium (SRP) </t>
  </si>
  <si>
    <t xml:space="preserve">  Calculated Cost of Equity (3)</t>
  </si>
  <si>
    <t>Pre-Tax Cost of Debt (4)</t>
  </si>
  <si>
    <r>
      <t>Equity Risk Premium (R</t>
    </r>
    <r>
      <rPr>
        <vertAlign val="subscript"/>
        <sz val="11"/>
        <rFont val="Calibri"/>
        <family val="2"/>
        <scheme val="minor"/>
      </rPr>
      <t>m</t>
    </r>
    <r>
      <rPr>
        <sz val="11"/>
        <rFont val="Calibri"/>
        <family val="2"/>
        <scheme val="minor"/>
      </rPr>
      <t xml:space="preserve"> - R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)</t>
    </r>
  </si>
  <si>
    <t>Other Current Liabilities</t>
  </si>
  <si>
    <t>Cash-Free, Debt-Free Net Working Capital</t>
  </si>
  <si>
    <t>n/a</t>
  </si>
  <si>
    <r>
      <t>Cost of Equity using the Capital Asset Pricing Model = R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 xml:space="preserve"> + B x (R</t>
    </r>
    <r>
      <rPr>
        <vertAlign val="subscript"/>
        <sz val="11"/>
        <rFont val="Calibri"/>
        <family val="2"/>
        <scheme val="minor"/>
      </rPr>
      <t>m</t>
    </r>
    <r>
      <rPr>
        <sz val="11"/>
        <rFont val="Calibri"/>
        <family val="2"/>
        <scheme val="minor"/>
      </rPr>
      <t xml:space="preserve"> - R</t>
    </r>
    <r>
      <rPr>
        <vertAlign val="subscript"/>
        <sz val="11"/>
        <rFont val="Calibri"/>
        <family val="2"/>
        <scheme val="minor"/>
      </rPr>
      <t>f</t>
    </r>
    <r>
      <rPr>
        <sz val="11"/>
        <rFont val="Calibri"/>
        <family val="2"/>
        <scheme val="minor"/>
      </rPr>
      <t>) + SSP + SRP.</t>
    </r>
  </si>
  <si>
    <t xml:space="preserve">Implied goodwill is the excess of the cost of the acquired entity over the net of the amounts assigned to assets acquired and liabilities assumed.  </t>
  </si>
  <si>
    <t>Assumption that approximately 90% of XYZ Corporation's revenues are associated with the Company's trade names and trademarks.</t>
  </si>
  <si>
    <t>Revenue Attributable to Trade Marks</t>
  </si>
  <si>
    <t>Royalty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</si>
</sst>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_);\(#,##0.0\)"/>
    <numFmt numFmtId="165" formatCode="&quot;$&quot;#,##0.0_);\(&quot;$&quot;#,##0.0\)"/>
    <numFmt numFmtId="166" formatCode="#0.0%_);\(#0.0%\)"/>
    <numFmt numFmtId="167" formatCode="0.0"/>
    <numFmt numFmtId="168" formatCode="#,##0.0000_);\(#,##0.0000\)"/>
    <numFmt numFmtId="169" formatCode="0.0%"/>
    <numFmt numFmtId="170" formatCode="#0.00%_);\(#0.00%\)"/>
    <numFmt numFmtId="171" formatCode=";;;"/>
    <numFmt numFmtId="172" formatCode="\(0\);\(0\)"/>
    <numFmt numFmtId="173" formatCode="_(* #,##0.0_);_(* \(#,##0.0\);_(* &quot;-&quot;??_);_(@_)"/>
    <numFmt numFmtId="174" formatCode="_(* #,##0_);_(* \(#,##0\);_(* &quot;-&quot;??_);_(@_)"/>
    <numFmt numFmtId="175" formatCode="yyyy"/>
    <numFmt numFmtId="176" formatCode="#,##0.0\ ;\(#,##0.0\)"/>
    <numFmt numFmtId="177" formatCode="0.0000000000000\x"/>
    <numFmt numFmtId="178" formatCode="0.00000000000000\x"/>
    <numFmt numFmtId="179" formatCode="0.000000000000000\x"/>
    <numFmt numFmtId="180" formatCode="0%;[Red]\(0%\)"/>
    <numFmt numFmtId="181" formatCode="_-&quot;$&quot;* #,##0_-;\-&quot;$&quot;* #,##0_-;_-&quot;$&quot;* &quot;-&quot;_-;_-@_-"/>
    <numFmt numFmtId="182" formatCode="_-* #,##0_-;\-* #,##0_-;_-* &quot;-&quot;_-;_-@_-"/>
    <numFmt numFmtId="183" formatCode="_-&quot;$&quot;* #,##0.00_-;\-&quot;$&quot;* #,##0.00_-;_-&quot;$&quot;* &quot;-&quot;??_-;_-@_-"/>
    <numFmt numFmtId="184" formatCode="_(* &quot;$&quot;\ #,##0\ \ ;_(* &quot;$&quot;\ \(#,##0\)\ ;_(* &quot;-&quot;\ \ ;_(@\ "/>
    <numFmt numFmtId="185" formatCode="0.0_)\%;\(0.0\)\%;0.0_)\%;@_)_%"/>
    <numFmt numFmtId="186" formatCode="#,##0.0_)_%;\(#,##0.0\)_%;0.0_)_%;@_)_%"/>
    <numFmt numFmtId="187" formatCode="_(* #,##0\ \ ;_(* \(#,##0\)\ \ ;_(* &quot;-&quot;\ \ ;_(* @_)"/>
    <numFmt numFmtId="188" formatCode="#,##0.0_);\(#,##0.0\);#,##0.0_);@_)"/>
    <numFmt numFmtId="189" formatCode="&quot;$&quot;_(#,##0.00_);&quot;$&quot;\(#,##0.00\)"/>
    <numFmt numFmtId="190" formatCode="&quot;$&quot;_(#,##0.00_);&quot;$&quot;\(#,##0.00\);&quot;$&quot;_(0.00_);@_)"/>
    <numFmt numFmtId="191" formatCode="#,##0.00_);\(#,##0.00\);0.00_);@_)"/>
    <numFmt numFmtId="192" formatCode="\€_(#,##0.00_);\€\(#,##0.00\);\€_(0.00_);@_)"/>
    <numFmt numFmtId="193" formatCode="\£_(#,##0_);\£\(#,##0\)"/>
    <numFmt numFmtId="194" formatCode="* \L\+0.00%;* \L\-0.00%;* @\ \ "/>
    <numFmt numFmtId="195" formatCode="* \L\+0.00%;* \L\-0.00%;* &quot;-&quot;\ \ ;* @\ \ "/>
    <numFmt numFmtId="196" formatCode="#,##0.0_)\x;\(#,##0.0\)\x"/>
    <numFmt numFmtId="197" formatCode="#,##0.0\ \x;\(#,##0.0\)\x;@\ \ "/>
    <numFmt numFmtId="198" formatCode="#,##0.0\ \x;\(#,##0.0\)\x;@\ "/>
    <numFmt numFmtId="199" formatCode="#,##0_)\x;\(#,##0\)\x;0_)\x;@_)_x"/>
    <numFmt numFmtId="200" formatCode="#,##0.0\ \x;\(#,##0.0\)\x;@\ \ \x"/>
    <numFmt numFmtId="201" formatCode="#,##0.0_)_x;\(#,##0.0\)_x"/>
    <numFmt numFmtId="202" formatCode="#,##0_)_x;\(#,##0\)_x;0_)_x;@_)_x"/>
    <numFmt numFmtId="203" formatCode="0.0_)\%;\(0.0\)\%"/>
    <numFmt numFmtId="204" formatCode="* 0.0%;* \(0.0\)%;* &quot;-&quot;\ \ ;* @\ \ "/>
    <numFmt numFmtId="205" formatCode="0.0%;\(0.0\)%;@\ \ "/>
    <numFmt numFmtId="206" formatCode="#,##0.0_)_%;\(#,##0.0\)_%"/>
    <numFmt numFmtId="207" formatCode="#,##0.0000\ "/>
    <numFmt numFmtId="208" formatCode="_(\£* #,##0_);_(\£* \(#,##0\);_(\£* &quot;-&quot;_);_(@_)"/>
    <numFmt numFmtId="209" formatCode="_(\£* #,##0.0_);_(\£* \(#,##0.0\);_(\£* &quot;-&quot;_);_(@_)"/>
    <numFmt numFmtId="210" formatCode="_(\£* #,##0.00_);_(\£* \(#,##0.00\);_(\£* &quot;-&quot;_);_(@_)"/>
    <numFmt numFmtId="211" formatCode="_(* #,##0\p_);_(* \(#,##0\p\);_(* &quot;-&quot;\ \p_);_(@_)"/>
    <numFmt numFmtId="212" formatCode="_(* #,##0.00\p_);_(* \(#,##0.00\p\);_(* &quot;-&quot;\ \p_);_(@_)"/>
    <numFmt numFmtId="213" formatCode="\£#,##0.00"/>
    <numFmt numFmtId="214" formatCode="0.0000000000000000\x"/>
    <numFmt numFmtId="215" formatCode="&quot;$&quot;#,##0.00"/>
    <numFmt numFmtId="216" formatCode="0.00%;[Red]\(0.00%\)"/>
    <numFmt numFmtId="217" formatCode="#,##0&quot; kr&quot;;[Red]\-#,##0&quot; kr&quot;"/>
    <numFmt numFmtId="218" formatCode="0\ \ \ \ \ \ "/>
    <numFmt numFmtId="219" formatCode="&quot;$&quot;0.00\ \ \ _);\(&quot;$&quot;0.00\)\ \ \ "/>
    <numFmt numFmtId="220" formatCode="0.0\ \ \ \ \ _);\(0.0\)\ \ \ \ \ "/>
    <numFmt numFmtId="221" formatCode="0.00\ \x\ \ _);\(0.00\)\ \x\ \ "/>
    <numFmt numFmtId="222" formatCode="0.00\ \ \ \ \ _);\(0.00\)\ \ \ \ \ "/>
    <numFmt numFmtId="223" formatCode="0.0\ \ \ _);\(0.0\)\ \ \ "/>
    <numFmt numFmtId="224" formatCode="[Blue]#,##0.000_);[Blue]\(#,##0.000\)"/>
    <numFmt numFmtId="225" formatCode="[Blue]&quot;$&quot;#,##0.000_);[Blue]\(&quot;$&quot;#,##0.000\)"/>
    <numFmt numFmtId="226" formatCode="&quot;$&quot;#,##0.0_);[Red]\(&quot;$&quot;#,##0.0\);&quot;$&quot;0.0_);@_)"/>
    <numFmt numFmtId="227" formatCode="#,##0\ ;\(#,##0\);\-\ \ \ \ \ "/>
    <numFmt numFmtId="228" formatCode="#,##0\ ;\(#,##0\);\–\ \ \ \ \ "/>
    <numFmt numFmtId="229" formatCode="#,##0.00&quot; $&quot;;\-#,##0.00&quot; $&quot;"/>
    <numFmt numFmtId="230" formatCode="_(* #,##0.0_);_(* \(#,##0.0\);_(* &quot;-&quot;?_);_(@_)"/>
    <numFmt numFmtId="231" formatCode="0.00;[Red]0.00"/>
    <numFmt numFmtId="232" formatCode="#,##0.00&quot; F&quot;_);\(#,##0.00&quot; F&quot;\)"/>
    <numFmt numFmtId="233" formatCode="_(* #,##0.00000_);_(* \(#,##0.00000\);_(* &quot;-&quot;??_);_(@_)"/>
    <numFmt numFmtId="234" formatCode="0.00_)"/>
    <numFmt numFmtId="235" formatCode="#,##0.0_);[Red]\(#,##0.0\)"/>
    <numFmt numFmtId="236" formatCode="#,##0_%_);\(#,##0\)_%;#,##0_%_);@_%_)"/>
    <numFmt numFmtId="237" formatCode="#,##0_%_);\(#,##0\)_%;**;@_%_)"/>
    <numFmt numFmtId="238" formatCode="#,##0.00_%_);\(#,##0.00\)_%;#,##0.00_%_);@_%_)"/>
    <numFmt numFmtId="239" formatCode="#,##0.000_%_);\(#,##0.000\)_%;**;@_%_)"/>
    <numFmt numFmtId="240" formatCode="General_)"/>
    <numFmt numFmtId="241" formatCode="&quot;$&quot;#,##0.0_);[Red]\(&quot;$&quot;#,##0.0\)"/>
    <numFmt numFmtId="242" formatCode="&quot;$&quot;#,##0_%_);\(&quot;$&quot;#,##0\)_%;&quot;$&quot;#,##0_%_);@_%_)"/>
    <numFmt numFmtId="243" formatCode="&quot;$&quot;#,##0.00_%_);\(&quot;$&quot;#,##0.00\)_%;&quot;$&quot;#,##0.00_%_);@_%_)"/>
    <numFmt numFmtId="244" formatCode="&quot;$&quot;#,##0.00_%_);\(&quot;$&quot;#,##0.00\)_%;**;@_%_)"/>
    <numFmt numFmtId="245" formatCode="&quot;$&quot;#,##0.000_%_);\(&quot;$&quot;#,##0.000\)_%;**;@_%_)"/>
    <numFmt numFmtId="246" formatCode="mmm\-d\-yy"/>
    <numFmt numFmtId="247" formatCode="mmm\-d\-yyyy"/>
    <numFmt numFmtId="248" formatCode="m/d/yy_%_)"/>
    <numFmt numFmtId="249" formatCode="#,##0.00&quot; kr&quot;;\-#,##0.00&quot; kr&quot;"/>
    <numFmt numFmtId="250" formatCode="yyyy&quot;E&quot;"/>
    <numFmt numFmtId="251" formatCode="_ * #,##0_ ;_ * \-#,##0_ ;_ * &quot;-&quot;_ ;_ @_ "/>
    <numFmt numFmtId="252" formatCode="_ * #,##0.00_ ;_ * \-#,##0.00_ ;_ * &quot;-&quot;??_ ;_ @_ "/>
    <numFmt numFmtId="253" formatCode="0_%_);\(0\)_%;0_%_);@_%_)"/>
    <numFmt numFmtId="254" formatCode="###0_);\(###0\)"/>
    <numFmt numFmtId="255" formatCode="#,##0&quot; kr&quot;;\-#,##0&quot; kr&quot;"/>
    <numFmt numFmtId="256" formatCode="\«#,##0;_(* #,##0;_(* &quot;-&quot;??_);_(@_)"/>
    <numFmt numFmtId="257" formatCode="&quot;$&quot;#,##0.000"/>
    <numFmt numFmtId="258" formatCode="#,##0\ \ ;\(#,##0\)\ ;\—\ \ \ \ "/>
    <numFmt numFmtId="259" formatCode="0.0%;[Red]\(0.0%\)"/>
    <numFmt numFmtId="260" formatCode="#,##0.00&quot; kr&quot;;[Red]\-#,##0.00&quot; kr&quot;"/>
    <numFmt numFmtId="261" formatCode="&quot;$&quot;#,##0\ ;\-&quot;$&quot;#,##0"/>
    <numFmt numFmtId="262" formatCode="_-* #,##0\ _F_-;\-* #,##0\ _F_-;_-* &quot;-&quot;\ _F_-;_-@_-"/>
    <numFmt numFmtId="263" formatCode="_-* #,##0.00\ _F_-;\-* #,##0.00\ _F_-;_-* &quot;-&quot;??\ _F_-;_-@_-"/>
    <numFmt numFmtId="264" formatCode="_-* #,##0&quot; kr&quot;_-;\-* #,##0&quot; kr&quot;_-;_-* &quot;-&quot;&quot; kr&quot;_-;_-@_-"/>
    <numFmt numFmtId="265" formatCode="_-* #,##0_ _k_r_-;\-* #,##0_ _k_r_-;_-* &quot;-&quot;_ _k_r_-;_-@_-"/>
    <numFmt numFmtId="266" formatCode="_-* #,##0.00&quot; kr&quot;_-;\-* #,##0.00&quot; kr&quot;_-;_-* &quot;-&quot;??&quot; kr&quot;_-;_-@_-"/>
    <numFmt numFmtId="267" formatCode="_-* #,##0.00_ _k_r_-;\-* #,##0.00_ _k_r_-;_-* &quot;-&quot;??_ _k_r_-;_-@_-"/>
    <numFmt numFmtId="268" formatCode="_(* #,##0.0000_);_(* \(#,##0.0000\);_(* &quot;-&quot;_);_(@_)"/>
    <numFmt numFmtId="269" formatCode="_-* #,##0\ &quot;F&quot;_-;\-* #,##0\ &quot;F&quot;_-;_-* &quot;-&quot;\ &quot;F&quot;_-;_-@_-"/>
    <numFmt numFmtId="270" formatCode="_-* #,##0.00\ &quot;F&quot;_-;\-* #,##0.00\ &quot;F&quot;_-;_-* &quot;-&quot;??\ &quot;F&quot;_-;_-@_-"/>
    <numFmt numFmtId="271" formatCode="0.0\ \ "/>
    <numFmt numFmtId="272" formatCode="&quot;$&quot;#,##0.0_);&quot;$&quot;\(#,##0.0\)"/>
    <numFmt numFmtId="273" formatCode="_(* #,##0.000_);_(* \(#,##0.000\);_(* &quot;-&quot;??_);_(@_)"/>
    <numFmt numFmtId="274" formatCode="_(* #,##0.00\ ___);_(* \(#,##0.00\ __\);_(* &quot;-&quot;??_);_(@_)"/>
    <numFmt numFmtId="275" formatCode="_(* #,##0\ \x_);_(* \(#,##0\ \x\);_(* &quot;-&quot;??_);_(@_)"/>
    <numFmt numFmtId="276" formatCode="_(* #,##0\ ___);_(* \(#,##0\ __\);_(* &quot;-&quot;??_);_(@_)"/>
    <numFmt numFmtId="277" formatCode="_(* #,##0.0\ \x_);_(* \(#,##0.0\ \x\);_(* &quot;-&quot;??_);_(@_)"/>
    <numFmt numFmtId="278" formatCode="_(* #,##0.0\ ___);_(* \(#,##0.0\ __\);_(* &quot;-&quot;??_);_(@_)"/>
    <numFmt numFmtId="279" formatCode="#,##0.0_x_)_);&quot;NM&quot;_x_)_);#,##0.0_x_)_);@_x_)_)"/>
    <numFmt numFmtId="280" formatCode="0.0_)_x;\(0.0\)_x"/>
    <numFmt numFmtId="281" formatCode="0.000%"/>
    <numFmt numFmtId="282" formatCode="#,##0.000_);[Red]\(#,##0.000\)"/>
    <numFmt numFmtId="283" formatCode="#,##0.0_)\ \ ;[Red]\(#,##0.0\)\ \ "/>
    <numFmt numFmtId="284" formatCode="&quot;$&quot;#,##0.0000"/>
    <numFmt numFmtId="285" formatCode="#,##0.0\ \ \ ;\(#,##0.0\)\ \ "/>
    <numFmt numFmtId="286" formatCode="0.0\ _)_%;\(0.0\)\ _%;0.0\ _)_%;@_)_%"/>
    <numFmt numFmtId="287" formatCode="0.0%;\(0.0%\)"/>
    <numFmt numFmtId="288" formatCode="0%_);\(0%\)"/>
    <numFmt numFmtId="289" formatCode="_-* #,##0.0_-;\-* #,##0.0_-;_-* &quot;-&quot;??_-;_-@_-"/>
    <numFmt numFmtId="290" formatCode="0.0_%"/>
    <numFmt numFmtId="291" formatCode="_(0.0%;_(* \(0.0\)%"/>
    <numFmt numFmtId="292" formatCode="0.0%_);\(0.0%\);**;@_%_)"/>
    <numFmt numFmtId="293" formatCode="&quot;$&quot;#,##0.000_);\(&quot;$&quot;#,##0.000\)"/>
    <numFmt numFmtId="294" formatCode="_(* #,##0%_);_(* \(#,##0%\);_(* &quot;-&quot;_);_(@_)"/>
    <numFmt numFmtId="295" formatCode="0.0%&quot;Sales&quot;"/>
    <numFmt numFmtId="296" formatCode="#,##0_)&quot; %&quot;;[Red]\(#,##0\)&quot; %&quot;"/>
    <numFmt numFmtId="297" formatCode="#,##0.00;[Red]\(#,##0.00\)"/>
    <numFmt numFmtId="298" formatCode="mm/dd/yy"/>
    <numFmt numFmtId="299" formatCode="_(&quot;SGD&quot;\ * #,##0.00_);_(&quot;SGD&quot;\ * \(#,##0.00\);_(* &quot;-&quot;_);_(@_)"/>
    <numFmt numFmtId="300" formatCode="0.0_)_%;\(0.0\)_%;0.0_%_);@_)_%"/>
    <numFmt numFmtId="301" formatCode="0.0\x"/>
    <numFmt numFmtId="302" formatCode="#,##0.00_);\(#,##0.00\);_(* &quot;-&quot;_)"/>
    <numFmt numFmtId="303" formatCode="#,##0.0_);\(#,##0.0\);_(* &quot;-&quot;_)"/>
    <numFmt numFmtId="304" formatCode="#,##0_);\(#,##0\);_(* &quot;-&quot;_);_(* &quot;-&quot;_)"/>
    <numFmt numFmtId="305" formatCode="_(&quot;$&quot;* #,##0.00_);_(&quot;$&quot;* \(#,##0.00\);_(* &quot;-&quot;_);_(@_)"/>
    <numFmt numFmtId="306" formatCode="_(###.##%_);\(* &quot;-&quot;_);_(@_)"/>
    <numFmt numFmtId="307" formatCode="m/d/yy"/>
    <numFmt numFmtId="308" formatCode="#,##0.00\x"/>
    <numFmt numFmtId="309" formatCode="#,##0&quot; $&quot;;\-#,##0&quot; $&quot;"/>
    <numFmt numFmtId="310" formatCode="#,##0&quot; $&quot;;[Red]\-#,##0&quot; $&quot;"/>
    <numFmt numFmtId="311" formatCode="_(* #,##0.000000_);_(* \(#,##0.000000\);_(* &quot;-&quot;??_);_(@_)"/>
    <numFmt numFmtId="312" formatCode="_(* #,##0.00000_);_(* \(#,##0.00000\);_(* &quot;-&quot;?????_);_(@_)"/>
    <numFmt numFmtId="313" formatCode="_(&quot;$&quot;* #,##0.00000_);_(&quot;$&quot;* \(#,##0.00000\);_(&quot;$&quot;* &quot;-&quot;?????_);_(@_)"/>
    <numFmt numFmtId="314" formatCode="&quot;$&quot;#,##0.000000_);\(&quot;$&quot;#,##0.000000\)"/>
    <numFmt numFmtId="315" formatCode="0.0000000"/>
    <numFmt numFmtId="316" formatCode="0.000000"/>
    <numFmt numFmtId="317" formatCode="&quot;\&quot;#,##0.00;[Red]&quot;\&quot;\-#,##0.00"/>
    <numFmt numFmtId="318" formatCode="&quot;\&quot;#,##0;[Red]&quot;\&quot;\-#,##0"/>
    <numFmt numFmtId="319" formatCode="#,##0;\(#,##0\)"/>
    <numFmt numFmtId="320" formatCode="_-&quot;\&quot;* #,##0_-;\-&quot;\&quot;* #,##0_-;_-&quot;\&quot;* &quot;-&quot;_-;_-@_-"/>
    <numFmt numFmtId="321" formatCode="_-&quot;\&quot;* #,##0.00_-;\-&quot;\&quot;* #,##0.00_-;_-&quot;\&quot;* &quot;-&quot;??_-;_-@_-"/>
    <numFmt numFmtId="322" formatCode="_-* #,##0.00_-;\-* #,##0.00_-;_-* &quot;-&quot;??_-;_-@_-"/>
    <numFmt numFmtId="323" formatCode="#."/>
    <numFmt numFmtId="324" formatCode="#,##0_ "/>
    <numFmt numFmtId="325" formatCode="&quot;\&quot;#\!\,##0;&quot;\&quot;&quot;\&quot;&quot;\&quot;&quot;\&quot;&quot;\&quot;\!\-#\!\,##0"/>
    <numFmt numFmtId="326" formatCode="#,##0\ &quot;DM&quot;;[Red]\-#,##0\ &quot;DM&quot;"/>
    <numFmt numFmtId="327" formatCode="#,##0;[Red]\(#,##0\);\-"/>
    <numFmt numFmtId="328" formatCode="#\!\,##0;[Red]&quot;-&quot;#\!\,##0"/>
    <numFmt numFmtId="329" formatCode="#,##0;[Red]\-#,##0;\-"/>
    <numFmt numFmtId="330" formatCode="_ * #,##0_ ;_ * &quot;\&quot;&quot;\&quot;&quot;\&quot;&quot;\&quot;&quot;\&quot;&quot;\&quot;\-#,##0_ ;_ * &quot;-&quot;_ ;_ @_ "/>
    <numFmt numFmtId="331" formatCode="&quot;\&quot;#,##0.00;[Red]&quot;\&quot;&quot;\&quot;&quot;\&quot;&quot;\&quot;&quot;\&quot;&quot;\&quot;&quot;\&quot;\-#,##0.00"/>
    <numFmt numFmtId="332" formatCode="&quot;\&quot;#,##0;&quot;\&quot;\-#,##0"/>
    <numFmt numFmtId="333" formatCode="_ &quot;\&quot;* #,##0_ ;_ &quot;\&quot;* \-#,##0_ ;_ &quot;\&quot;* &quot;-&quot;_ ;_ @_ "/>
    <numFmt numFmtId="334" formatCode="_ &quot;\&quot;* #,##0.00_ ;_ &quot;\&quot;* \-#,##0.00_ ;_ &quot;\&quot;* &quot;-&quot;??_ ;_ @_ "/>
    <numFmt numFmtId="335" formatCode="&quot;kr&quot;\ #,##0.00;&quot;kr&quot;\ \-#,##0.00"/>
    <numFmt numFmtId="336" formatCode="#,##0.00000_);\(#,##0.00000\)"/>
    <numFmt numFmtId="337" formatCode="#0.00\x"/>
    <numFmt numFmtId="338" formatCode="[$-409]mmm\-yy;@"/>
    <numFmt numFmtId="339" formatCode="0.00%_);[Red]\(0.00%\)"/>
    <numFmt numFmtId="340" formatCode="d/m/yy"/>
    <numFmt numFmtId="341" formatCode="#,##0\ \ \ \ ;[Red]\(#,##0\)\ \ \ ;\—\ \ \ \ "/>
    <numFmt numFmtId="342" formatCode="#,##0.000_);\(#,##0.000\)"/>
    <numFmt numFmtId="343" formatCode="_([$€-2]* #,##0.00_);_([$€-2]* \(#,##0.00\);_([$€-2]* &quot;-&quot;??_)"/>
    <numFmt numFmtId="344" formatCode="0.00%;[Red]\(0.0%\)"/>
    <numFmt numFmtId="345" formatCode="#,##0.0\%_);\(#,##0.0\%\);#,##0.0\%_);@_%_)"/>
    <numFmt numFmtId="346" formatCode="&quot;$&quot;#,##0_);\(&quot;$&quot;#,##0\);&quot;   $---   &quot;"/>
    <numFmt numFmtId="347" formatCode="[Blue]#,##0\ \ \ ;[Blue]\(#,##0\)\ \ "/>
    <numFmt numFmtId="348" formatCode="0.0\ \x\ ;&quot;NM   &quot;;0.0\ \x"/>
    <numFmt numFmtId="349" formatCode="&quot;$&quot;&quot; &quot;#,##0_);\(&quot;$&quot;&quot; &quot;#,##0\);\-_)"/>
    <numFmt numFmtId="350" formatCode="0000"/>
    <numFmt numFmtId="351" formatCode="000000"/>
    <numFmt numFmtId="352" formatCode="_-&quot;S&quot;\ * #,##0.00_-;\-&quot;S&quot;\ * #,##0.00_-;_-&quot;S&quot;\ * &quot;-&quot;??_-;_-@_-"/>
    <numFmt numFmtId="353" formatCode="&quot;$&quot;\ \ #,##0_);[Red]\(&quot;$&quot;#,##0\)"/>
    <numFmt numFmtId="354" formatCode="#,##0.0%;\(#,##0.0%\)"/>
    <numFmt numFmtId="355" formatCode="&quot;$&quot;#,##0"/>
    <numFmt numFmtId="356" formatCode="0_);\(0\)"/>
    <numFmt numFmtId="357" formatCode="0.0000_);\(0.0000\)"/>
    <numFmt numFmtId="358" formatCode="#0%_);\(#0%\)"/>
    <numFmt numFmtId="359" formatCode="0.0000"/>
    <numFmt numFmtId="360" formatCode="0.0000_);[Red]\(0.0000\)"/>
    <numFmt numFmtId="361" formatCode="0.0000%"/>
    <numFmt numFmtId="362" formatCode="&quot;$&quot;#,##0.0;\(&quot;$&quot;#,##0.0\)"/>
    <numFmt numFmtId="363" formatCode="\ \ &quot;$&quot;* #,##0_);[Red]\ \ &quot;$&quot;* \(#,##0\);\ \ &quot;$&quot;* 0_)"/>
    <numFmt numFmtId="364" formatCode="0.0%_);\(0.0%\)"/>
    <numFmt numFmtId="365" formatCode="_(&quot;$&quot;* #,##0_);_(&quot;$&quot;* \(#,##0\);_(&quot;$&quot;* &quot;-&quot;??_);_(@_)"/>
  </numFmts>
  <fonts count="327">
    <font>
      <sz val="11"/>
      <name val="Palatino Linotype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Palatino Linotype"/>
      <family val="2"/>
    </font>
    <font>
      <sz val="11"/>
      <color theme="1"/>
      <name val="Calibri"/>
      <family val="2"/>
      <scheme val="minor"/>
    </font>
    <font>
      <sz val="11"/>
      <name val="Palatino Linotype"/>
      <family val="1"/>
    </font>
    <font>
      <sz val="8"/>
      <name val="Palatino Linotype"/>
      <family val="1"/>
    </font>
    <font>
      <sz val="10"/>
      <name val="Arial"/>
      <family val="2"/>
    </font>
    <font>
      <b/>
      <sz val="10"/>
      <name val="MS Sans Serif"/>
      <family val="2"/>
    </font>
    <font>
      <sz val="9"/>
      <name val="Arial"/>
      <family val="2"/>
    </font>
    <font>
      <sz val="8"/>
      <name val="MS Serif"/>
      <family val="1"/>
    </font>
    <font>
      <sz val="8"/>
      <name val="Times New Roman"/>
      <family val="1"/>
    </font>
    <font>
      <sz val="10"/>
      <color indexed="8"/>
      <name val="MS Sans Serif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sz val="8"/>
      <name val="Arial Narrow"/>
      <family val="2"/>
    </font>
    <font>
      <sz val="9"/>
      <name val="Arial"/>
      <family val="2"/>
    </font>
    <font>
      <b/>
      <sz val="9"/>
      <name val="Arial"/>
      <family val="2"/>
    </font>
    <font>
      <b/>
      <sz val="22"/>
      <color indexed="18"/>
      <name val="Arial"/>
      <family val="2"/>
    </font>
    <font>
      <b/>
      <sz val="22"/>
      <color indexed="18"/>
      <name val="Arial"/>
      <family val="2"/>
    </font>
    <font>
      <sz val="8"/>
      <color indexed="12"/>
      <name val="Arial Narrow"/>
      <family val="2"/>
    </font>
    <font>
      <b/>
      <sz val="11"/>
      <color indexed="9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b/>
      <sz val="14"/>
      <color indexed="18"/>
      <name val="Arial"/>
      <family val="2"/>
    </font>
    <font>
      <b/>
      <sz val="14"/>
      <color indexed="18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sz val="10"/>
      <color indexed="18"/>
      <name val="Arial"/>
      <family val="2"/>
    </font>
    <font>
      <b/>
      <sz val="8"/>
      <color indexed="8"/>
      <name val="Arial Narrow"/>
      <family val="2"/>
    </font>
    <font>
      <b/>
      <sz val="9"/>
      <color indexed="18"/>
      <name val="Arial"/>
      <family val="2"/>
    </font>
    <font>
      <b/>
      <u val="singleAccounting"/>
      <sz val="8"/>
      <name val="Arial"/>
      <family val="2"/>
    </font>
    <font>
      <b/>
      <u val="singleAccounting"/>
      <sz val="8"/>
      <name val="Arial Narrow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8"/>
      <name val="Helvetica"/>
      <family val="2"/>
    </font>
    <font>
      <u/>
      <sz val="10"/>
      <name val="Arial"/>
      <family val="2"/>
    </font>
    <font>
      <sz val="8"/>
      <name val="Arial"/>
      <family val="2"/>
    </font>
    <font>
      <sz val="8"/>
      <name val="Times"/>
      <family val="1"/>
    </font>
    <font>
      <sz val="8"/>
      <name val="Tahoma"/>
      <family val="2"/>
    </font>
    <font>
      <sz val="8"/>
      <color indexed="8"/>
      <name val="Times New Roman"/>
      <family val="1"/>
    </font>
    <font>
      <sz val="8"/>
      <name val="Tms Rmn"/>
    </font>
    <font>
      <sz val="8"/>
      <color indexed="12"/>
      <name val="Times New Roman"/>
      <family val="1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sz val="8"/>
      <name val="Verdana"/>
      <family val="2"/>
    </font>
    <font>
      <b/>
      <sz val="8"/>
      <name val="Times New Roman"/>
      <family val="1"/>
    </font>
    <font>
      <b/>
      <sz val="12"/>
      <name val="Times New Roman"/>
      <family val="1"/>
    </font>
    <font>
      <b/>
      <sz val="12"/>
      <color indexed="63"/>
      <name val="Times New Roman"/>
      <family val="1"/>
    </font>
    <font>
      <b/>
      <sz val="10"/>
      <name val="MS Sans Serif"/>
      <family val="2"/>
    </font>
    <font>
      <sz val="11"/>
      <name val="Times New Roman"/>
      <family val="1"/>
    </font>
    <font>
      <sz val="8"/>
      <name val="Arial"/>
      <family val="2"/>
    </font>
    <font>
      <b/>
      <sz val="10"/>
      <name val="MS Serif"/>
      <family val="1"/>
    </font>
    <font>
      <sz val="10"/>
      <name val="Courier New"/>
      <family val="3"/>
    </font>
    <font>
      <b/>
      <sz val="10"/>
      <name val="Arial"/>
      <family val="2"/>
    </font>
    <font>
      <sz val="8"/>
      <color indexed="17"/>
      <name val="Times New Roman"/>
      <family val="1"/>
    </font>
    <font>
      <b/>
      <sz val="8"/>
      <name val="Arial"/>
      <family val="2"/>
    </font>
    <font>
      <sz val="8"/>
      <color indexed="12"/>
      <name val="Helv"/>
    </font>
    <font>
      <sz val="8"/>
      <name val="Palatino"/>
      <family val="1"/>
    </font>
    <font>
      <b/>
      <sz val="8"/>
      <name val="Helv"/>
    </font>
    <font>
      <b/>
      <sz val="14"/>
      <name val="Arial"/>
      <family val="2"/>
    </font>
    <font>
      <b/>
      <sz val="11"/>
      <name val="Times New Roman"/>
      <family val="1"/>
    </font>
    <font>
      <sz val="10"/>
      <name val="MS Serif"/>
      <family val="1"/>
    </font>
    <font>
      <sz val="10"/>
      <name val="BERNHARD"/>
    </font>
    <font>
      <sz val="12"/>
      <name val="Helv"/>
    </font>
    <font>
      <sz val="10"/>
      <name val="Helv"/>
      <family val="2"/>
    </font>
    <font>
      <sz val="10"/>
      <name val="Times New Roman"/>
      <family val="1"/>
    </font>
    <font>
      <b/>
      <i/>
      <strike/>
      <sz val="12"/>
      <color indexed="48"/>
      <name val="Arial"/>
      <family val="2"/>
    </font>
    <font>
      <sz val="8"/>
      <color indexed="9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Arial"/>
      <family val="2"/>
    </font>
    <font>
      <b/>
      <sz val="7"/>
      <color indexed="12"/>
      <name val="Helvetica"/>
      <family val="2"/>
    </font>
    <font>
      <sz val="10"/>
      <name val="Palatino"/>
      <family val="1"/>
    </font>
    <font>
      <sz val="9"/>
      <name val="Century Schoolbook"/>
      <family val="1"/>
    </font>
    <font>
      <sz val="12"/>
      <name val="Times New Roman"/>
      <family val="1"/>
    </font>
    <font>
      <sz val="12"/>
      <name val="Arial"/>
      <family val="2"/>
    </font>
    <font>
      <sz val="10"/>
      <color indexed="16"/>
      <name val="MS Serif"/>
      <family val="1"/>
    </font>
    <font>
      <i/>
      <strike/>
      <sz val="12"/>
      <color indexed="40"/>
      <name val="Arial"/>
      <family val="2"/>
    </font>
    <font>
      <sz val="1"/>
      <color indexed="8"/>
      <name val="Courier"/>
      <family val="3"/>
    </font>
    <font>
      <sz val="11"/>
      <name val="Times New Roman"/>
      <family val="1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sz val="12"/>
      <name val="Arial"/>
      <family val="2"/>
    </font>
    <font>
      <b/>
      <u/>
      <sz val="8"/>
      <color indexed="8"/>
      <name val="Tahoma"/>
      <family val="2"/>
    </font>
    <font>
      <b/>
      <sz val="12"/>
      <name val="Tms Rmn"/>
    </font>
    <font>
      <b/>
      <sz val="18"/>
      <name val="Arial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name val="Arial"/>
      <family val="2"/>
    </font>
    <font>
      <b/>
      <sz val="8"/>
      <name val="MS Sans Serif"/>
      <family val="2"/>
    </font>
    <font>
      <sz val="8"/>
      <color indexed="39"/>
      <name val="Arial"/>
      <family val="2"/>
    </font>
    <font>
      <sz val="9"/>
      <name val="Times New Roman"/>
      <family val="1"/>
    </font>
    <font>
      <sz val="10"/>
      <color indexed="12"/>
      <name val="Times New Roman"/>
      <family val="1"/>
    </font>
    <font>
      <sz val="10"/>
      <color indexed="17"/>
      <name val="Arial"/>
      <family val="2"/>
    </font>
    <font>
      <u/>
      <sz val="8"/>
      <color indexed="12"/>
      <name val="MS Sans Serif"/>
      <family val="2"/>
    </font>
    <font>
      <b/>
      <sz val="36"/>
      <name val="Times New Roman"/>
      <family val="1"/>
    </font>
    <font>
      <sz val="8"/>
      <name val="Times New Roman"/>
      <family val="1"/>
    </font>
    <font>
      <sz val="7"/>
      <name val="Small Fonts"/>
      <family val="2"/>
    </font>
    <font>
      <b/>
      <sz val="8"/>
      <color indexed="23"/>
      <name val="Verdana"/>
      <family val="2"/>
    </font>
    <font>
      <sz val="8"/>
      <color indexed="8"/>
      <name val="Helv"/>
      <family val="2"/>
    </font>
    <font>
      <sz val="10"/>
      <name val="Palatino"/>
      <family val="1"/>
    </font>
    <font>
      <sz val="8"/>
      <name val="Helv"/>
    </font>
    <font>
      <i/>
      <strike/>
      <sz val="12"/>
      <color indexed="10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color indexed="39"/>
      <name val="Arial"/>
      <family val="2"/>
    </font>
    <font>
      <sz val="10"/>
      <name val="TimesNewRomanPS"/>
    </font>
    <font>
      <sz val="10"/>
      <color indexed="16"/>
      <name val="Helvetica-Black"/>
    </font>
    <font>
      <sz val="12"/>
      <color indexed="8"/>
      <name val="Times New Roman"/>
      <family val="1"/>
    </font>
    <font>
      <sz val="9"/>
      <color indexed="12"/>
      <name val="Arial"/>
      <family val="2"/>
    </font>
    <font>
      <strike/>
      <sz val="12"/>
      <color indexed="46"/>
      <name val="Arial"/>
      <family val="2"/>
    </font>
    <font>
      <b/>
      <sz val="8"/>
      <color indexed="18"/>
      <name val="Times New Roman"/>
      <family val="1"/>
    </font>
    <font>
      <sz val="16"/>
      <color indexed="9"/>
      <name val="Tahoma"/>
      <family val="2"/>
    </font>
    <font>
      <sz val="12"/>
      <color indexed="17"/>
      <name val="Arial"/>
      <family val="2"/>
    </font>
    <font>
      <sz val="8"/>
      <color indexed="10"/>
      <name val="Arial"/>
      <family val="2"/>
    </font>
    <font>
      <sz val="8"/>
      <name val="Wingdings"/>
      <charset val="2"/>
    </font>
    <font>
      <sz val="9.5"/>
      <color indexed="23"/>
      <name val="Helvetica-Black"/>
    </font>
    <font>
      <b/>
      <i/>
      <sz val="8"/>
      <name val="Arial"/>
      <family val="2"/>
    </font>
    <font>
      <sz val="10"/>
      <name val="Futura UBS Bk"/>
      <family val="2"/>
    </font>
    <font>
      <sz val="8"/>
      <name val="MS Sans Serif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trike/>
      <sz val="10"/>
      <name val="Arial"/>
      <family val="2"/>
    </font>
    <font>
      <b/>
      <sz val="13"/>
      <color indexed="8"/>
      <name val="Verdana"/>
      <family val="2"/>
    </font>
    <font>
      <b/>
      <sz val="8"/>
      <color indexed="9"/>
      <name val="Verdana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i/>
      <sz val="8"/>
      <color indexed="8"/>
      <name val="Arial"/>
      <family val="2"/>
    </font>
    <font>
      <sz val="2"/>
      <color indexed="9"/>
      <name val="Symbol"/>
      <family val="1"/>
      <charset val="2"/>
    </font>
    <font>
      <sz val="8"/>
      <color indexed="39"/>
      <name val="Arial"/>
      <family val="2"/>
    </font>
    <font>
      <sz val="10"/>
      <color indexed="8"/>
      <name val="Arial"/>
      <family val="2"/>
    </font>
    <font>
      <b/>
      <i/>
      <sz val="12"/>
      <color indexed="8"/>
      <name val="Arial"/>
      <family val="2"/>
    </font>
    <font>
      <b/>
      <i/>
      <sz val="11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8"/>
      <color indexed="16"/>
      <name val="Times New Roman"/>
      <family val="1"/>
    </font>
    <font>
      <b/>
      <sz val="9"/>
      <name val="Arial"/>
      <family val="2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10"/>
      <name val="Palatino"/>
      <family val="1"/>
    </font>
    <font>
      <sz val="9"/>
      <name val="Helvetica-Black"/>
    </font>
    <font>
      <sz val="7"/>
      <name val="Palatino"/>
      <family val="1"/>
    </font>
    <font>
      <b/>
      <sz val="8"/>
      <color indexed="63"/>
      <name val="Verdana"/>
      <family val="2"/>
    </font>
    <font>
      <sz val="12"/>
      <color indexed="8"/>
      <name val="Palatino"/>
      <family val="1"/>
    </font>
    <font>
      <sz val="11"/>
      <color indexed="8"/>
      <name val="Helvetica-Black"/>
    </font>
    <font>
      <sz val="7"/>
      <name val="Arial"/>
      <family val="2"/>
    </font>
    <font>
      <b/>
      <sz val="16"/>
      <color indexed="9"/>
      <name val="Tahoma"/>
      <family val="2"/>
    </font>
    <font>
      <b/>
      <sz val="8"/>
      <name val="Tms Rmn"/>
    </font>
    <font>
      <b/>
      <sz val="10"/>
      <name val="Times New Roman"/>
      <family val="1"/>
    </font>
    <font>
      <b/>
      <sz val="7"/>
      <color indexed="12"/>
      <name val="Arial"/>
      <family val="2"/>
    </font>
    <font>
      <sz val="10"/>
      <color indexed="38"/>
      <name val="Arial"/>
      <family val="2"/>
    </font>
    <font>
      <sz val="8"/>
      <color indexed="18"/>
      <name val="Times New Roman"/>
      <family val="1"/>
    </font>
    <font>
      <sz val="8"/>
      <color indexed="8"/>
      <name val="Arial"/>
      <family val="2"/>
    </font>
    <font>
      <i/>
      <strike/>
      <sz val="12"/>
      <color indexed="48"/>
      <name val="Arial"/>
      <family val="2"/>
    </font>
    <font>
      <sz val="12"/>
      <name val="CF儷簡宋"/>
      <family val="3"/>
      <charset val="136"/>
    </font>
    <font>
      <sz val="11"/>
      <name val="明朝"/>
      <family val="1"/>
      <charset val="128"/>
    </font>
    <font>
      <u/>
      <sz val="10"/>
      <color indexed="14"/>
      <name val="新細明體"/>
      <family val="1"/>
      <charset val="136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sz val="12"/>
      <name val="宋体"/>
      <charset val="134"/>
    </font>
    <font>
      <b/>
      <sz val="10"/>
      <color indexed="8"/>
      <name val="Arial"/>
      <family val="2"/>
    </font>
    <font>
      <sz val="1"/>
      <color indexed="8"/>
      <name val="Courier"/>
      <family val="3"/>
    </font>
    <font>
      <sz val="12"/>
      <name val="바탕체"/>
      <family val="1"/>
      <charset val="129"/>
    </font>
    <font>
      <sz val="12"/>
      <name val="Times New Roman"/>
      <family val="1"/>
    </font>
    <font>
      <sz val="12"/>
      <name val="굴림체"/>
      <family val="3"/>
      <charset val="129"/>
    </font>
    <font>
      <sz val="11"/>
      <name val="돋움"/>
      <family val="3"/>
      <charset val="129"/>
    </font>
    <font>
      <sz val="12"/>
      <name val="¹UAAA¼"/>
      <family val="1"/>
      <charset val="129"/>
    </font>
    <font>
      <sz val="10"/>
      <name val="굴림체"/>
      <family val="3"/>
      <charset val="129"/>
    </font>
    <font>
      <sz val="12"/>
      <name val="돋움체"/>
      <family val="3"/>
      <charset val="129"/>
    </font>
    <font>
      <sz val="10"/>
      <name val="MS Sans Serif"/>
      <family val="2"/>
    </font>
    <font>
      <sz val="10"/>
      <name val="바탕체"/>
      <family val="1"/>
      <charset val="129"/>
    </font>
    <font>
      <sz val="12"/>
      <name val="명조"/>
      <family val="3"/>
      <charset val="129"/>
    </font>
    <font>
      <sz val="11"/>
      <name val="μ¸¿o"/>
      <family val="3"/>
      <charset val="129"/>
    </font>
    <font>
      <sz val="8"/>
      <name val="¹UAAA¼"/>
      <family val="1"/>
      <charset val="129"/>
    </font>
    <font>
      <b/>
      <sz val="10"/>
      <name val="Helv"/>
      <family val="2"/>
    </font>
    <font>
      <u/>
      <sz val="11"/>
      <color indexed="36"/>
      <name val="돋움"/>
      <family val="3"/>
      <charset val="129"/>
    </font>
    <font>
      <b/>
      <sz val="11"/>
      <name val="Helv"/>
      <family val="2"/>
    </font>
    <font>
      <sz val="12"/>
      <name val="Helv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4"/>
      <name val="Helv"/>
      <family val="2"/>
    </font>
    <font>
      <b/>
      <sz val="1"/>
      <color indexed="8"/>
      <name val="Courier"/>
      <family val="3"/>
    </font>
    <font>
      <b/>
      <sz val="9"/>
      <name val="굴림"/>
      <family val="3"/>
      <charset val="129"/>
    </font>
    <font>
      <sz val="14"/>
      <name val="뼻뮝"/>
      <family val="3"/>
      <charset val="129"/>
    </font>
    <font>
      <sz val="10"/>
      <name val="바탕"/>
      <family val="1"/>
      <charset val="129"/>
    </font>
    <font>
      <sz val="12"/>
      <name val="뼻뮝"/>
      <family val="1"/>
      <charset val="129"/>
    </font>
    <font>
      <b/>
      <sz val="12"/>
      <color indexed="16"/>
      <name val="굴림체"/>
      <family val="3"/>
      <charset val="129"/>
    </font>
    <font>
      <sz val="10"/>
      <name val="명조"/>
      <family val="3"/>
      <charset val="129"/>
    </font>
    <font>
      <sz val="11"/>
      <name val="돋움체"/>
      <family val="3"/>
      <charset val="129"/>
    </font>
    <font>
      <sz val="10"/>
      <color indexed="24"/>
      <name val="MS Sans Serif"/>
      <family val="2"/>
    </font>
    <font>
      <sz val="1"/>
      <color indexed="0"/>
      <name val="Courier"/>
      <family val="3"/>
    </font>
    <font>
      <sz val="11"/>
      <name val="바탕체"/>
      <family val="1"/>
      <charset val="129"/>
    </font>
    <font>
      <sz val="10"/>
      <name val="¹UAAA¼"/>
      <family val="1"/>
      <charset val="129"/>
    </font>
    <font>
      <sz val="12"/>
      <color indexed="12"/>
      <name val="Arial"/>
      <family val="2"/>
    </font>
    <font>
      <sz val="11"/>
      <name val="Arial"/>
      <family val="2"/>
    </font>
    <font>
      <sz val="10"/>
      <name val="Palatino Linotype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Verdana"/>
      <family val="2"/>
    </font>
    <font>
      <sz val="10"/>
      <name val="Garamond"/>
      <family val="1"/>
    </font>
    <font>
      <sz val="11"/>
      <name val="Garamond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i/>
      <sz val="10"/>
      <color indexed="8"/>
      <name val="Times New Roman"/>
      <family val="1"/>
    </font>
    <font>
      <b/>
      <sz val="11"/>
      <color indexed="8"/>
      <name val="Arial"/>
      <family val="2"/>
    </font>
    <font>
      <sz val="11"/>
      <color indexed="10"/>
      <name val="Calibri"/>
      <family val="2"/>
    </font>
    <font>
      <b/>
      <u val="singleAccounting"/>
      <sz val="8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Palatino Linotype"/>
      <family val="1"/>
    </font>
    <font>
      <b/>
      <sz val="8"/>
      <color indexed="8"/>
      <name val="Times New Roman"/>
      <family val="1"/>
    </font>
    <font>
      <sz val="10"/>
      <name val="Geneva"/>
      <family val="2"/>
    </font>
    <font>
      <sz val="10"/>
      <name val="Courier"/>
      <family val="3"/>
    </font>
    <font>
      <sz val="10"/>
      <name val="Arial"/>
      <family val="2"/>
    </font>
    <font>
      <sz val="10"/>
      <color theme="1"/>
      <name val="Times New Roman"/>
      <family val="2"/>
    </font>
    <font>
      <sz val="8"/>
      <name val="Antique Olive"/>
      <family val="2"/>
    </font>
    <font>
      <sz val="8"/>
      <name val="Geneva"/>
      <family val="2"/>
    </font>
    <font>
      <b/>
      <sz val="9"/>
      <color indexed="8"/>
      <name val="Helv"/>
    </font>
    <font>
      <sz val="12"/>
      <name val="¹ÙÅÁÃ¼"/>
      <family val="1"/>
      <charset val="129"/>
    </font>
    <font>
      <sz val="8"/>
      <color indexed="8"/>
      <name val="Calibri"/>
      <family val="2"/>
    </font>
    <font>
      <sz val="10"/>
      <name val="Book Antiqua"/>
      <family val="1"/>
    </font>
    <font>
      <i/>
      <sz val="10"/>
      <name val="Arial"/>
      <family val="2"/>
    </font>
    <font>
      <sz val="10"/>
      <name val="Geneva"/>
      <family val="2"/>
    </font>
    <font>
      <sz val="12"/>
      <name val="Tms Rmn"/>
    </font>
    <font>
      <sz val="8"/>
      <color indexed="8"/>
      <name val="Helv"/>
    </font>
    <font>
      <sz val="12"/>
      <name val="±¼¸²Ã¼"/>
      <family val="3"/>
      <charset val="129"/>
    </font>
    <font>
      <sz val="7"/>
      <name val="Book Antiqua"/>
      <family val="1"/>
    </font>
    <font>
      <b/>
      <i/>
      <sz val="8"/>
      <name val="Book Antiqua"/>
      <family val="1"/>
    </font>
    <font>
      <b/>
      <sz val="9.75"/>
      <name val="Abadi MT Condensed"/>
      <family val="2"/>
    </font>
    <font>
      <sz val="7"/>
      <name val="Geneva"/>
      <family val="2"/>
    </font>
    <font>
      <sz val="10"/>
      <name val="Helv"/>
    </font>
    <font>
      <sz val="10"/>
      <name val="Abadi MT Condensed"/>
      <family val="2"/>
    </font>
    <font>
      <sz val="10"/>
      <color indexed="12"/>
      <name val="Abadi MT Condensed"/>
      <family val="2"/>
    </font>
    <font>
      <sz val="8"/>
      <name val="Helv"/>
      <family val="2"/>
    </font>
    <font>
      <sz val="10"/>
      <name val="Geneva"/>
      <family val="2"/>
    </font>
    <font>
      <sz val="10"/>
      <color indexed="16"/>
      <name val="Arial"/>
      <family val="2"/>
    </font>
    <font>
      <sz val="12"/>
      <name val="???"/>
      <family val="1"/>
      <charset val="129"/>
    </font>
    <font>
      <sz val="12"/>
      <name val="?¡§u￠R?¡§I"/>
      <family val="3"/>
    </font>
    <font>
      <u/>
      <sz val="10"/>
      <color indexed="36"/>
      <name val="Arial"/>
      <family val="2"/>
    </font>
    <font>
      <sz val="10"/>
      <name val="Helv"/>
      <charset val="204"/>
    </font>
    <font>
      <sz val="10"/>
      <color indexed="16"/>
      <name val="Times New Roman"/>
      <family val="1"/>
    </font>
    <font>
      <sz val="10"/>
      <color indexed="9"/>
      <name val="Arial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sz val="10"/>
      <color indexed="32"/>
      <name val="Arial"/>
      <family val="2"/>
    </font>
    <font>
      <b/>
      <sz val="10"/>
      <color indexed="16"/>
      <name val="Times New Roman"/>
      <family val="1"/>
    </font>
    <font>
      <sz val="10"/>
      <name val="Arial"/>
      <family val="2"/>
    </font>
    <font>
      <sz val="8"/>
      <color indexed="8"/>
      <name val="Arial"/>
      <family val="2"/>
    </font>
    <font>
      <b/>
      <u val="singleAccounting"/>
      <sz val="8"/>
      <color indexed="8"/>
      <name val="Arial"/>
      <family val="2"/>
    </font>
    <font>
      <sz val="12"/>
      <color theme="1"/>
      <name val="Times New Roman"/>
      <family val="2"/>
    </font>
    <font>
      <sz val="11"/>
      <color theme="1"/>
      <name val="Arial"/>
      <family val="2"/>
    </font>
    <font>
      <sz val="10"/>
      <color indexed="23"/>
      <name val="Comic Sans MS"/>
      <family val="2"/>
    </font>
    <font>
      <sz val="11"/>
      <color theme="1"/>
      <name val="宋体"/>
      <charset val="134"/>
    </font>
    <font>
      <sz val="10"/>
      <color indexed="9"/>
      <name val="Comic Sans MS"/>
      <family val="2"/>
    </font>
    <font>
      <sz val="11"/>
      <color theme="0"/>
      <name val="宋体"/>
      <charset val="134"/>
    </font>
    <font>
      <sz val="10"/>
      <name val="Lucida Sans Unicode"/>
      <family val="2"/>
    </font>
    <font>
      <sz val="10"/>
      <color indexed="59"/>
      <name val="Comic Sans MS"/>
      <family val="2"/>
    </font>
    <font>
      <sz val="8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Trebuchet MS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Trebuchet MS"/>
      <family val="2"/>
    </font>
    <font>
      <b/>
      <sz val="14"/>
      <color theme="1"/>
      <name val="Trebuchet MS"/>
      <family val="2"/>
    </font>
    <font>
      <sz val="10"/>
      <name val="GillSans"/>
      <family val="2"/>
    </font>
    <font>
      <sz val="8"/>
      <color indexed="49"/>
      <name val="Times New Roman"/>
      <family val="1"/>
    </font>
    <font>
      <b/>
      <u/>
      <sz val="10"/>
      <name val="Courier"/>
      <family val="3"/>
    </font>
    <font>
      <i/>
      <u/>
      <sz val="11"/>
      <name val="Arial"/>
      <family val="2"/>
    </font>
    <font>
      <sz val="11"/>
      <color indexed="12"/>
      <name val="Arial"/>
      <family val="2"/>
    </font>
    <font>
      <sz val="11"/>
      <color rgb="FF0000FF"/>
      <name val="Arial"/>
      <family val="2"/>
    </font>
    <font>
      <b/>
      <sz val="11"/>
      <color indexed="12"/>
      <name val="Arial"/>
      <family val="2"/>
    </font>
    <font>
      <i/>
      <sz val="11"/>
      <name val="Arial"/>
      <family val="2"/>
    </font>
    <font>
      <b/>
      <sz val="11"/>
      <color rgb="FF0000FF"/>
      <name val="Arial"/>
      <family val="2"/>
    </font>
    <font>
      <b/>
      <u/>
      <sz val="10"/>
      <name val="Arial"/>
      <family val="2"/>
    </font>
    <font>
      <sz val="10"/>
      <color rgb="FF0000FF"/>
      <name val="Arial"/>
      <family val="2"/>
    </font>
    <font>
      <b/>
      <u/>
      <sz val="11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u/>
      <sz val="11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rgb="FF0000FF"/>
      <name val="Calibri"/>
      <family val="2"/>
      <scheme val="minor"/>
    </font>
    <font>
      <i/>
      <sz val="10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9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rgb="FF0000FF"/>
      <name val="Calibri"/>
      <family val="2"/>
      <scheme val="minor"/>
    </font>
  </fonts>
  <fills count="84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solid">
        <fgColor indexed="4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15"/>
      </patternFill>
    </fill>
    <fill>
      <patternFill patternType="solid">
        <fgColor indexed="18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gray0625"/>
    </fill>
    <fill>
      <patternFill patternType="solid">
        <fgColor indexed="55"/>
      </patternFill>
    </fill>
    <fill>
      <patternFill patternType="solid">
        <fgColor indexed="60"/>
        <bgColor indexed="64"/>
      </patternFill>
    </fill>
    <fill>
      <patternFill patternType="solid">
        <fgColor indexed="26"/>
        <bgColor indexed="64"/>
      </patternFill>
    </fill>
    <fill>
      <patternFill patternType="gray0625">
        <fgColor indexed="12"/>
        <bgColor indexed="9"/>
      </patternFill>
    </fill>
    <fill>
      <patternFill patternType="solid">
        <fgColor indexed="9"/>
      </patternFill>
    </fill>
    <fill>
      <patternFill patternType="solid">
        <fgColor indexed="43"/>
        <bgColor indexed="64"/>
      </patternFill>
    </fill>
    <fill>
      <patternFill patternType="gray125">
        <fgColor indexed="8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8"/>
        <bgColor indexed="17"/>
      </patternFill>
    </fill>
    <fill>
      <patternFill patternType="solid">
        <fgColor indexed="12"/>
      </patternFill>
    </fill>
    <fill>
      <patternFill patternType="solid">
        <fgColor indexed="13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1"/>
      </patternFill>
    </fill>
    <fill>
      <patternFill patternType="solid">
        <fgColor indexed="17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55759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double">
        <color indexed="8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55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39"/>
      </right>
      <top/>
      <bottom/>
      <diagonal/>
    </border>
    <border>
      <left/>
      <right/>
      <top style="thin">
        <color indexed="39"/>
      </top>
      <bottom/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</borders>
  <cellStyleXfs count="4220">
    <xf numFmtId="338" fontId="0" fillId="0" borderId="0"/>
    <xf numFmtId="338" fontId="178" fillId="0" borderId="0">
      <protection locked="0"/>
    </xf>
    <xf numFmtId="338" fontId="178" fillId="0" borderId="0">
      <protection locked="0"/>
    </xf>
    <xf numFmtId="338" fontId="178" fillId="0" borderId="0">
      <protection locked="0"/>
    </xf>
    <xf numFmtId="338" fontId="178" fillId="0" borderId="0">
      <protection locked="0"/>
    </xf>
    <xf numFmtId="338" fontId="13" fillId="0" borderId="0" applyNumberFormat="0" applyFill="0" applyBorder="0" applyAlignment="0" applyProtection="0"/>
    <xf numFmtId="176" fontId="14" fillId="0" borderId="0"/>
    <xf numFmtId="177" fontId="12" fillId="0" borderId="0" applyFont="0" applyFill="0" applyBorder="0" applyAlignment="0" applyProtection="0"/>
    <xf numFmtId="178" fontId="12" fillId="0" borderId="0"/>
    <xf numFmtId="179" fontId="12" fillId="0" borderId="0" applyFont="0" applyFill="0" applyBorder="0" applyAlignment="0" applyProtection="0"/>
    <xf numFmtId="9" fontId="15" fillId="2" borderId="1">
      <alignment horizontal="right" vertical="center"/>
    </xf>
    <xf numFmtId="180" fontId="16" fillId="0" borderId="0" applyBorder="0"/>
    <xf numFmtId="338" fontId="17" fillId="0" borderId="0" applyNumberFormat="0" applyFont="0" applyFill="0" applyBorder="0" applyAlignment="0" applyProtection="0"/>
    <xf numFmtId="171" fontId="18" fillId="0" borderId="0" applyFont="0" applyFill="0" applyBorder="0" applyAlignment="0"/>
    <xf numFmtId="338" fontId="178" fillId="0" borderId="0"/>
    <xf numFmtId="44" fontId="179" fillId="0" borderId="0" applyFont="0" applyFill="0" applyBorder="0" applyAlignment="0" applyProtection="0"/>
    <xf numFmtId="338" fontId="178" fillId="0" borderId="0"/>
    <xf numFmtId="338" fontId="178" fillId="0" borderId="0"/>
    <xf numFmtId="182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338" fontId="19" fillId="0" borderId="0" applyNumberFormat="0" applyFill="0" applyBorder="0" applyAlignment="0" applyProtection="0"/>
    <xf numFmtId="338" fontId="178" fillId="0" borderId="0"/>
    <xf numFmtId="184" fontId="14" fillId="0" borderId="0" applyFont="0" applyFill="0" applyBorder="0" applyProtection="0">
      <alignment horizontal="right"/>
    </xf>
    <xf numFmtId="185" fontId="12" fillId="0" borderId="0" applyFont="0" applyFill="0" applyBorder="0" applyAlignment="0" applyProtection="0"/>
    <xf numFmtId="186" fontId="12" fillId="0" borderId="0" applyFont="0" applyFill="0" applyBorder="0" applyAlignment="0" applyProtection="0"/>
    <xf numFmtId="338" fontId="19" fillId="0" borderId="0"/>
    <xf numFmtId="323" fontId="177" fillId="0" borderId="0">
      <protection locked="0"/>
    </xf>
    <xf numFmtId="323" fontId="177" fillId="0" borderId="0">
      <protection locked="0"/>
    </xf>
    <xf numFmtId="338" fontId="19" fillId="0" borderId="0"/>
    <xf numFmtId="338" fontId="178" fillId="0" borderId="0" applyFont="0" applyFill="0" applyBorder="0" applyAlignment="0" applyProtection="0"/>
    <xf numFmtId="187" fontId="14" fillId="0" borderId="0" applyFont="0" applyFill="0" applyBorder="0" applyProtection="0">
      <alignment horizontal="right"/>
    </xf>
    <xf numFmtId="338" fontId="12" fillId="0" borderId="0" applyFont="0" applyFill="0" applyBorder="0" applyAlignment="0" applyProtection="0"/>
    <xf numFmtId="338" fontId="12" fillId="0" borderId="0" applyFont="0" applyFill="0" applyBorder="0" applyAlignment="0" applyProtection="0"/>
    <xf numFmtId="338" fontId="19" fillId="0" borderId="0"/>
    <xf numFmtId="338" fontId="12" fillId="0" borderId="0" applyFont="0" applyFill="0" applyBorder="0" applyAlignment="0" applyProtection="0"/>
    <xf numFmtId="338" fontId="12" fillId="0" borderId="0" applyFont="0" applyFill="0" applyBorder="0" applyAlignment="0" applyProtection="0"/>
    <xf numFmtId="338" fontId="175" fillId="0" borderId="0">
      <alignment vertical="center"/>
    </xf>
    <xf numFmtId="164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88" fontId="20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20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4" fontId="21" fillId="0" borderId="0" applyFill="0" applyBorder="0" applyProtection="0"/>
    <xf numFmtId="338" fontId="12" fillId="0" borderId="0" applyFont="0" applyFill="0" applyBorder="0" applyAlignment="0" applyProtection="0"/>
    <xf numFmtId="192" fontId="22" fillId="0" borderId="0" applyFont="0" applyFill="0" applyBorder="0" applyProtection="0">
      <alignment horizontal="right"/>
    </xf>
    <xf numFmtId="192" fontId="22" fillId="0" borderId="0" applyFont="0" applyFill="0" applyBorder="0" applyAlignment="0" applyProtection="0"/>
    <xf numFmtId="192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338" fontId="19" fillId="0" borderId="0"/>
    <xf numFmtId="193" fontId="23" fillId="0" borderId="2" applyFont="0" applyFill="0" applyBorder="0" applyAlignment="0" applyProtection="0"/>
    <xf numFmtId="338" fontId="12" fillId="0" borderId="0" applyFont="0" applyFill="0" applyBorder="0" applyAlignment="0" applyProtection="0"/>
    <xf numFmtId="338" fontId="12" fillId="0" borderId="0" applyFont="0" applyFill="0" applyBorder="0" applyAlignment="0" applyProtection="0"/>
    <xf numFmtId="338" fontId="24" fillId="0" borderId="0" applyNumberFormat="0" applyFill="0" applyBorder="0" applyAlignment="0" applyProtection="0"/>
    <xf numFmtId="338" fontId="25" fillId="0" borderId="0" applyNumberFormat="0" applyFill="0" applyBorder="0" applyAlignment="0" applyProtection="0"/>
    <xf numFmtId="338" fontId="25" fillId="0" borderId="0" applyNumberFormat="0" applyFill="0" applyBorder="0" applyAlignment="0" applyProtection="0"/>
    <xf numFmtId="338" fontId="12" fillId="3" borderId="0" applyNumberFormat="0" applyFont="0" applyAlignment="0" applyProtection="0"/>
    <xf numFmtId="338" fontId="12" fillId="0" borderId="0" applyFont="0" applyFill="0" applyBorder="0" applyAlignment="0" applyProtection="0"/>
    <xf numFmtId="194" fontId="26" fillId="0" borderId="0" applyFont="0" applyFill="0" applyBorder="0" applyProtection="0">
      <alignment horizontal="right"/>
    </xf>
    <xf numFmtId="195" fontId="26" fillId="0" borderId="0" applyFont="0" applyFill="0" applyBorder="0" applyProtection="0">
      <alignment horizontal="right"/>
    </xf>
    <xf numFmtId="195" fontId="26" fillId="0" borderId="0" applyFont="0" applyFill="0" applyBorder="0" applyProtection="0">
      <alignment horizontal="right"/>
    </xf>
    <xf numFmtId="338" fontId="12" fillId="0" borderId="0" applyFont="0" applyFill="0" applyBorder="0" applyAlignment="0" applyProtection="0"/>
    <xf numFmtId="338" fontId="27" fillId="4" borderId="0">
      <alignment horizontal="centerContinuous" vertical="center"/>
    </xf>
    <xf numFmtId="338" fontId="28" fillId="5" borderId="0">
      <alignment horizontal="centerContinuous" vertical="center"/>
    </xf>
    <xf numFmtId="323" fontId="177" fillId="0" borderId="0">
      <protection locked="0"/>
    </xf>
    <xf numFmtId="196" fontId="12" fillId="0" borderId="0" applyFont="0" applyFill="0" applyBorder="0" applyAlignment="0" applyProtection="0"/>
    <xf numFmtId="197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9" fontId="12" fillId="0" borderId="0" applyFont="0" applyFill="0" applyBorder="0" applyAlignment="0" applyProtection="0"/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6" fontId="12" fillId="0" borderId="0" applyFont="0" applyFill="0" applyBorder="0" applyAlignment="0" applyProtection="0"/>
    <xf numFmtId="199" fontId="20" fillId="0" borderId="0" applyFont="0" applyFill="0" applyBorder="0" applyAlignment="0" applyProtection="0"/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9" fontId="12" fillId="0" borderId="0" applyFont="0" applyFill="0" applyBorder="0" applyAlignment="0" applyProtection="0"/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200" fontId="12" fillId="0" borderId="0" applyFont="0" applyFill="0" applyBorder="0" applyProtection="0">
      <alignment horizontal="right"/>
    </xf>
    <xf numFmtId="201" fontId="12" fillId="0" borderId="0" applyFont="0" applyFill="0" applyBorder="0" applyAlignment="0" applyProtection="0"/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1" fontId="12" fillId="0" borderId="0" applyFont="0" applyFill="0" applyBorder="0" applyAlignment="0" applyProtection="0"/>
    <xf numFmtId="202" fontId="20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202" fontId="12" fillId="0" borderId="0" applyFont="0" applyFill="0" applyBorder="0" applyProtection="0">
      <alignment horizontal="right"/>
    </xf>
    <xf numFmtId="338" fontId="12" fillId="0" borderId="0"/>
    <xf numFmtId="203" fontId="12" fillId="0" borderId="0" applyFont="0" applyFill="0" applyBorder="0" applyAlignment="0" applyProtection="0"/>
    <xf numFmtId="204" fontId="29" fillId="0" borderId="3" applyFont="0" applyFill="0" applyBorder="0" applyProtection="0">
      <alignment horizontal="right"/>
    </xf>
    <xf numFmtId="205" fontId="29" fillId="0" borderId="3" applyFont="0" applyFill="0" applyBorder="0" applyProtection="0">
      <alignment horizontal="right"/>
    </xf>
    <xf numFmtId="205" fontId="29" fillId="0" borderId="3" applyFont="0" applyFill="0" applyBorder="0" applyProtection="0">
      <alignment horizontal="right"/>
    </xf>
    <xf numFmtId="205" fontId="29" fillId="0" borderId="3" applyFont="0" applyFill="0" applyBorder="0" applyProtection="0">
      <alignment horizontal="right"/>
    </xf>
    <xf numFmtId="205" fontId="29" fillId="0" borderId="3" applyFont="0" applyFill="0" applyBorder="0" applyProtection="0">
      <alignment horizontal="right"/>
    </xf>
    <xf numFmtId="205" fontId="29" fillId="0" borderId="3" applyFont="0" applyFill="0" applyBorder="0" applyProtection="0">
      <alignment horizontal="right"/>
    </xf>
    <xf numFmtId="206" fontId="12" fillId="0" borderId="0" applyFont="0" applyFill="0" applyBorder="0" applyAlignment="0" applyProtection="0"/>
    <xf numFmtId="338" fontId="181" fillId="0" borderId="0"/>
    <xf numFmtId="338" fontId="181" fillId="0" borderId="0"/>
    <xf numFmtId="338" fontId="19" fillId="0" borderId="0"/>
    <xf numFmtId="338" fontId="19" fillId="0" borderId="0"/>
    <xf numFmtId="338" fontId="30" fillId="0" borderId="0" applyNumberFormat="0" applyFill="0" applyBorder="0" applyProtection="0">
      <alignment vertical="top"/>
    </xf>
    <xf numFmtId="338" fontId="31" fillId="0" borderId="0" applyNumberFormat="0" applyFill="0" applyBorder="0" applyProtection="0">
      <alignment vertical="top"/>
    </xf>
    <xf numFmtId="338" fontId="31" fillId="0" borderId="0" applyNumberFormat="0" applyFill="0" applyBorder="0" applyProtection="0">
      <alignment vertical="top"/>
    </xf>
    <xf numFmtId="338" fontId="29" fillId="0" borderId="3" applyNumberFormat="0" applyFill="0" applyAlignment="0" applyProtection="0"/>
    <xf numFmtId="338" fontId="32" fillId="0" borderId="4" applyNumberFormat="0" applyFill="0" applyProtection="0">
      <alignment horizontal="center"/>
    </xf>
    <xf numFmtId="338" fontId="33" fillId="0" borderId="4" applyNumberFormat="0" applyFill="0" applyProtection="0">
      <alignment horizontal="center"/>
    </xf>
    <xf numFmtId="338" fontId="34" fillId="0" borderId="5" applyNumberFormat="0" applyFill="0" applyProtection="0">
      <alignment horizontal="center"/>
    </xf>
    <xf numFmtId="338" fontId="34" fillId="0" borderId="5" applyNumberFormat="0" applyFill="0" applyProtection="0">
      <alignment horizontal="center"/>
    </xf>
    <xf numFmtId="338" fontId="35" fillId="0" borderId="4" applyNumberFormat="0" applyFill="0" applyProtection="0">
      <alignment horizontal="center"/>
    </xf>
    <xf numFmtId="338" fontId="36" fillId="0" borderId="0" applyNumberFormat="0" applyFill="0" applyBorder="0" applyProtection="0">
      <alignment horizontal="left"/>
    </xf>
    <xf numFmtId="338" fontId="34" fillId="0" borderId="0" applyNumberFormat="0" applyFill="0" applyBorder="0" applyProtection="0">
      <alignment horizontal="left"/>
    </xf>
    <xf numFmtId="338" fontId="34" fillId="0" borderId="0" applyNumberFormat="0" applyFill="0" applyBorder="0" applyProtection="0">
      <alignment horizontal="left"/>
    </xf>
    <xf numFmtId="338" fontId="37" fillId="0" borderId="0" applyNumberFormat="0" applyFill="0" applyBorder="0" applyProtection="0">
      <alignment horizontal="centerContinuous"/>
    </xf>
    <xf numFmtId="338" fontId="38" fillId="0" borderId="0" applyNumberFormat="0" applyFill="0" applyBorder="0" applyProtection="0">
      <alignment horizontal="centerContinuous"/>
    </xf>
    <xf numFmtId="338" fontId="39" fillId="0" borderId="0" applyNumberFormat="0" applyFill="0" applyBorder="0" applyProtection="0">
      <alignment horizontal="centerContinuous"/>
    </xf>
    <xf numFmtId="338" fontId="39" fillId="0" borderId="0" applyNumberFormat="0" applyFill="0" applyBorder="0" applyProtection="0">
      <alignment horizontal="centerContinuous"/>
    </xf>
    <xf numFmtId="338" fontId="38" fillId="0" borderId="0" applyNumberFormat="0" applyFill="0" applyBorder="0" applyProtection="0">
      <alignment horizontal="centerContinuous"/>
    </xf>
    <xf numFmtId="338" fontId="19" fillId="0" borderId="0"/>
    <xf numFmtId="338" fontId="12" fillId="0" borderId="0" applyFont="0" applyFill="0" applyBorder="0" applyAlignment="0" applyProtection="0"/>
    <xf numFmtId="338" fontId="12" fillId="0" borderId="0"/>
    <xf numFmtId="338" fontId="12" fillId="0" borderId="0" applyFont="0" applyFill="0" applyBorder="0" applyAlignment="0" applyProtection="0"/>
    <xf numFmtId="338" fontId="12" fillId="0" borderId="0"/>
    <xf numFmtId="338" fontId="12" fillId="0" borderId="0"/>
    <xf numFmtId="338" fontId="183" fillId="0" borderId="0"/>
    <xf numFmtId="323" fontId="177" fillId="0" borderId="0">
      <protection locked="0"/>
    </xf>
    <xf numFmtId="338" fontId="183" fillId="0" borderId="0"/>
    <xf numFmtId="338" fontId="19" fillId="0" borderId="0"/>
    <xf numFmtId="338" fontId="19" fillId="0" borderId="0"/>
    <xf numFmtId="338" fontId="184" fillId="0" borderId="0" applyFont="0" applyFill="0" applyBorder="0" applyAlignment="0" applyProtection="0"/>
    <xf numFmtId="323" fontId="177" fillId="0" borderId="0">
      <protection locked="0"/>
    </xf>
    <xf numFmtId="338" fontId="19" fillId="0" borderId="0"/>
    <xf numFmtId="338" fontId="19" fillId="0" borderId="0"/>
    <xf numFmtId="323" fontId="177" fillId="0" borderId="0">
      <protection locked="0"/>
    </xf>
    <xf numFmtId="323" fontId="177" fillId="0" borderId="0">
      <protection locked="0"/>
    </xf>
    <xf numFmtId="338" fontId="19" fillId="0" borderId="0"/>
    <xf numFmtId="323" fontId="177" fillId="0" borderId="0">
      <protection locked="0"/>
    </xf>
    <xf numFmtId="338" fontId="178" fillId="0" borderId="0"/>
    <xf numFmtId="338" fontId="19" fillId="0" borderId="0"/>
    <xf numFmtId="338" fontId="185" fillId="0" borderId="0"/>
    <xf numFmtId="338" fontId="19" fillId="0" borderId="0"/>
    <xf numFmtId="338" fontId="19" fillId="0" borderId="0"/>
    <xf numFmtId="338" fontId="19" fillId="0" borderId="0"/>
    <xf numFmtId="323" fontId="177" fillId="0" borderId="0">
      <protection locked="0"/>
    </xf>
    <xf numFmtId="338" fontId="19" fillId="0" borderId="0"/>
    <xf numFmtId="338" fontId="19" fillId="0" borderId="0"/>
    <xf numFmtId="323" fontId="177" fillId="0" borderId="0">
      <protection locked="0"/>
    </xf>
    <xf numFmtId="338" fontId="181" fillId="0" borderId="0"/>
    <xf numFmtId="338" fontId="14" fillId="0" borderId="0">
      <alignment vertical="top"/>
    </xf>
    <xf numFmtId="207" fontId="12" fillId="0" borderId="0" applyFont="0" applyFill="0" applyBorder="0" applyAlignment="0" applyProtection="0"/>
    <xf numFmtId="208" fontId="40" fillId="0" borderId="0" applyFont="0" applyFill="0" applyBorder="0" applyAlignment="0" applyProtection="0"/>
    <xf numFmtId="209" fontId="40" fillId="0" borderId="0" applyFont="0" applyFill="0" applyBorder="0" applyAlignment="0" applyProtection="0"/>
    <xf numFmtId="210" fontId="40" fillId="0" borderId="0" applyFont="0" applyFill="0" applyBorder="0" applyAlignment="0" applyProtection="0"/>
    <xf numFmtId="211" fontId="40" fillId="0" borderId="0" applyFont="0" applyFill="0" applyBorder="0" applyAlignment="0" applyProtection="0"/>
    <xf numFmtId="212" fontId="40" fillId="0" borderId="0" applyFont="0" applyFill="0" applyBorder="0" applyAlignment="0" applyProtection="0"/>
    <xf numFmtId="213" fontId="41" fillId="0" borderId="0" applyFont="0" applyFill="0" applyBorder="0" applyAlignment="0" applyProtection="0"/>
    <xf numFmtId="207" fontId="12" fillId="0" borderId="0" applyFont="0" applyFill="0" applyBorder="0" applyAlignment="0" applyProtection="0"/>
    <xf numFmtId="338" fontId="42" fillId="0" borderId="0"/>
    <xf numFmtId="1" fontId="20" fillId="0" borderId="0"/>
    <xf numFmtId="1" fontId="43" fillId="0" borderId="0"/>
    <xf numFmtId="1" fontId="43" fillId="0" borderId="0"/>
    <xf numFmtId="1" fontId="43" fillId="0" borderId="0"/>
    <xf numFmtId="1" fontId="43" fillId="0" borderId="0"/>
    <xf numFmtId="1" fontId="186" fillId="0" borderId="6">
      <alignment horizontal="center" vertical="center"/>
    </xf>
    <xf numFmtId="1" fontId="20" fillId="0" borderId="0"/>
    <xf numFmtId="1" fontId="20" fillId="0" borderId="0"/>
    <xf numFmtId="1" fontId="20" fillId="0" borderId="0"/>
    <xf numFmtId="1" fontId="20" fillId="0" borderId="0"/>
    <xf numFmtId="338" fontId="181" fillId="0" borderId="0" applyNumberFormat="0" applyFont="0" applyFill="0" applyBorder="0" applyAlignment="0" applyProtection="0">
      <protection locked="0"/>
    </xf>
    <xf numFmtId="214" fontId="12" fillId="0" borderId="0" applyFont="0" applyFill="0" applyBorder="0" applyAlignment="0" applyProtection="0"/>
    <xf numFmtId="167" fontId="16" fillId="0" borderId="0"/>
    <xf numFmtId="215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338" fontId="187" fillId="0" borderId="0" applyFont="0" applyFill="0" applyBorder="0" applyAlignment="0" applyProtection="0"/>
    <xf numFmtId="338" fontId="178" fillId="0" borderId="7">
      <alignment horizontal="center"/>
    </xf>
    <xf numFmtId="338" fontId="214" fillId="6" borderId="0" applyNumberFormat="0" applyBorder="0" applyAlignment="0" applyProtection="0"/>
    <xf numFmtId="338" fontId="214" fillId="7" borderId="0" applyNumberFormat="0" applyBorder="0" applyAlignment="0" applyProtection="0"/>
    <xf numFmtId="338" fontId="214" fillId="8" borderId="0" applyNumberFormat="0" applyBorder="0" applyAlignment="0" applyProtection="0"/>
    <xf numFmtId="338" fontId="214" fillId="9" borderId="0" applyNumberFormat="0" applyBorder="0" applyAlignment="0" applyProtection="0"/>
    <xf numFmtId="338" fontId="214" fillId="10" borderId="0" applyNumberFormat="0" applyBorder="0" applyAlignment="0" applyProtection="0"/>
    <xf numFmtId="338" fontId="214" fillId="11" borderId="0" applyNumberFormat="0" applyBorder="0" applyAlignment="0" applyProtection="0"/>
    <xf numFmtId="216" fontId="16" fillId="0" borderId="0"/>
    <xf numFmtId="40" fontId="16" fillId="0" borderId="0"/>
    <xf numFmtId="338" fontId="178" fillId="0" borderId="0"/>
    <xf numFmtId="338" fontId="214" fillId="12" borderId="0" applyNumberFormat="0" applyBorder="0" applyAlignment="0" applyProtection="0"/>
    <xf numFmtId="338" fontId="214" fillId="13" borderId="0" applyNumberFormat="0" applyBorder="0" applyAlignment="0" applyProtection="0"/>
    <xf numFmtId="338" fontId="214" fillId="14" borderId="0" applyNumberFormat="0" applyBorder="0" applyAlignment="0" applyProtection="0"/>
    <xf numFmtId="338" fontId="214" fillId="9" borderId="0" applyNumberFormat="0" applyBorder="0" applyAlignment="0" applyProtection="0"/>
    <xf numFmtId="338" fontId="214" fillId="12" borderId="0" applyNumberFormat="0" applyBorder="0" applyAlignment="0" applyProtection="0"/>
    <xf numFmtId="338" fontId="214" fillId="15" borderId="0" applyNumberFormat="0" applyBorder="0" applyAlignment="0" applyProtection="0"/>
    <xf numFmtId="338" fontId="215" fillId="16" borderId="0" applyNumberFormat="0" applyBorder="0" applyAlignment="0" applyProtection="0"/>
    <xf numFmtId="338" fontId="215" fillId="13" borderId="0" applyNumberFormat="0" applyBorder="0" applyAlignment="0" applyProtection="0"/>
    <xf numFmtId="338" fontId="215" fillId="14" borderId="0" applyNumberFormat="0" applyBorder="0" applyAlignment="0" applyProtection="0"/>
    <xf numFmtId="338" fontId="215" fillId="17" borderId="0" applyNumberFormat="0" applyBorder="0" applyAlignment="0" applyProtection="0"/>
    <xf numFmtId="338" fontId="215" fillId="18" borderId="0" applyNumberFormat="0" applyBorder="0" applyAlignment="0" applyProtection="0"/>
    <xf numFmtId="338" fontId="215" fillId="19" borderId="0" applyNumberFormat="0" applyBorder="0" applyAlignment="0" applyProtection="0"/>
    <xf numFmtId="338" fontId="178" fillId="0" borderId="0" applyFont="0" applyFill="0" applyBorder="0" applyAlignment="0" applyProtection="0"/>
    <xf numFmtId="338" fontId="215" fillId="20" borderId="0" applyNumberFormat="0" applyBorder="0" applyAlignment="0" applyProtection="0"/>
    <xf numFmtId="338" fontId="215" fillId="21" borderId="0" applyNumberFormat="0" applyBorder="0" applyAlignment="0" applyProtection="0"/>
    <xf numFmtId="338" fontId="215" fillId="22" borderId="0" applyNumberFormat="0" applyBorder="0" applyAlignment="0" applyProtection="0"/>
    <xf numFmtId="338" fontId="215" fillId="17" borderId="0" applyNumberFormat="0" applyBorder="0" applyAlignment="0" applyProtection="0"/>
    <xf numFmtId="338" fontId="215" fillId="18" borderId="0" applyNumberFormat="0" applyBorder="0" applyAlignment="0" applyProtection="0"/>
    <xf numFmtId="338" fontId="215" fillId="23" borderId="0" applyNumberFormat="0" applyBorder="0" applyAlignment="0" applyProtection="0"/>
    <xf numFmtId="338" fontId="44" fillId="0" borderId="0" applyNumberFormat="0" applyAlignment="0"/>
    <xf numFmtId="338" fontId="188" fillId="0" borderId="0" applyFont="0" applyFill="0" applyBorder="0" applyAlignment="0" applyProtection="0"/>
    <xf numFmtId="320" fontId="182" fillId="0" borderId="0" applyFont="0" applyFill="0" applyBorder="0" applyAlignment="0" applyProtection="0"/>
    <xf numFmtId="338" fontId="188" fillId="0" borderId="0" applyFont="0" applyFill="0" applyBorder="0" applyAlignment="0" applyProtection="0"/>
    <xf numFmtId="321" fontId="182" fillId="0" borderId="0" applyFont="0" applyFill="0" applyBorder="0" applyAlignment="0" applyProtection="0"/>
    <xf numFmtId="338" fontId="45" fillId="0" borderId="0"/>
    <xf numFmtId="338" fontId="185" fillId="0" borderId="0"/>
    <xf numFmtId="37" fontId="46" fillId="24" borderId="8" applyBorder="0" applyProtection="0">
      <alignment vertical="center"/>
    </xf>
    <xf numFmtId="217" fontId="12" fillId="0" borderId="0" applyFont="0" applyFill="0" applyBorder="0" applyAlignment="0" applyProtection="0"/>
    <xf numFmtId="338" fontId="16" fillId="0" borderId="0">
      <alignment horizontal="center" wrapText="1"/>
      <protection locked="0"/>
    </xf>
    <xf numFmtId="37" fontId="211" fillId="25" borderId="0" applyNumberFormat="0">
      <protection locked="0"/>
    </xf>
    <xf numFmtId="338" fontId="182" fillId="0" borderId="0" applyFont="0" applyFill="0" applyBorder="0" applyAlignment="0" applyProtection="0"/>
    <xf numFmtId="182" fontId="182" fillId="0" borderId="0" applyFont="0" applyFill="0" applyBorder="0" applyAlignment="0" applyProtection="0"/>
    <xf numFmtId="322" fontId="182" fillId="0" borderId="0" applyFont="0" applyFill="0" applyBorder="0" applyAlignment="0" applyProtection="0"/>
    <xf numFmtId="322" fontId="182" fillId="0" borderId="0" applyFont="0" applyFill="0" applyBorder="0" applyAlignment="0" applyProtection="0"/>
    <xf numFmtId="338" fontId="181" fillId="0" borderId="0" applyFont="0" applyFill="0" applyBorder="0" applyAlignment="0" applyProtection="0"/>
    <xf numFmtId="338" fontId="216" fillId="7" borderId="0" applyNumberFormat="0" applyBorder="0" applyAlignment="0" applyProtection="0"/>
    <xf numFmtId="338" fontId="47" fillId="0" borderId="0" applyNumberFormat="0" applyFill="0" applyBorder="0" applyAlignment="0" applyProtection="0"/>
    <xf numFmtId="218" fontId="48" fillId="0" borderId="0"/>
    <xf numFmtId="164" fontId="16" fillId="0" borderId="0"/>
    <xf numFmtId="165" fontId="16" fillId="0" borderId="9"/>
    <xf numFmtId="219" fontId="48" fillId="0" borderId="0"/>
    <xf numFmtId="338" fontId="48" fillId="0" borderId="0"/>
    <xf numFmtId="220" fontId="48" fillId="0" borderId="0"/>
    <xf numFmtId="338" fontId="16" fillId="0" borderId="0">
      <alignment horizontal="right"/>
    </xf>
    <xf numFmtId="221" fontId="48" fillId="0" borderId="0">
      <alignment horizontal="right"/>
    </xf>
    <xf numFmtId="222" fontId="48" fillId="0" borderId="0">
      <alignment horizontal="right"/>
    </xf>
    <xf numFmtId="338" fontId="48" fillId="0" borderId="0"/>
    <xf numFmtId="223" fontId="16" fillId="0" borderId="0">
      <alignment horizontal="right"/>
    </xf>
    <xf numFmtId="338" fontId="49" fillId="0" borderId="0" applyNumberFormat="0" applyFill="0" applyBorder="0" applyAlignment="0" applyProtection="0"/>
    <xf numFmtId="224" fontId="48" fillId="0" borderId="0"/>
    <xf numFmtId="225" fontId="48" fillId="0" borderId="0"/>
    <xf numFmtId="338" fontId="48" fillId="0" borderId="0"/>
    <xf numFmtId="1" fontId="50" fillId="26" borderId="10">
      <alignment horizontal="center"/>
    </xf>
    <xf numFmtId="338" fontId="48" fillId="0" borderId="0"/>
    <xf numFmtId="338" fontId="51" fillId="26" borderId="11">
      <alignment horizontal="center"/>
    </xf>
    <xf numFmtId="338" fontId="48" fillId="0" borderId="0"/>
    <xf numFmtId="338" fontId="52" fillId="27" borderId="12">
      <alignment horizontal="left"/>
    </xf>
    <xf numFmtId="338" fontId="53" fillId="28" borderId="0" applyBorder="0">
      <alignment horizontal="left" vertical="center" indent="1"/>
    </xf>
    <xf numFmtId="226" fontId="18" fillId="0" borderId="0"/>
    <xf numFmtId="37" fontId="54" fillId="0" borderId="0" applyNumberFormat="0" applyFill="0" applyBorder="0" applyAlignment="0" applyProtection="0">
      <protection locked="0"/>
    </xf>
    <xf numFmtId="338" fontId="55" fillId="0" borderId="13" applyNumberFormat="0" applyFill="0" applyAlignment="0" applyProtection="0"/>
    <xf numFmtId="338" fontId="56" fillId="0" borderId="0"/>
    <xf numFmtId="5" fontId="57" fillId="0" borderId="9" applyAlignment="0" applyProtection="0"/>
    <xf numFmtId="227" fontId="58" fillId="0" borderId="2" applyNumberFormat="0" applyFill="0" applyAlignment="0" applyProtection="0">
      <alignment horizontal="center"/>
    </xf>
    <xf numFmtId="228" fontId="58" fillId="0" borderId="13" applyFill="0" applyAlignment="0" applyProtection="0">
      <alignment horizontal="center"/>
    </xf>
    <xf numFmtId="338" fontId="18" fillId="0" borderId="0"/>
    <xf numFmtId="207" fontId="12" fillId="0" borderId="0" applyFont="0" applyFill="0" applyBorder="0" applyAlignment="0" applyProtection="0"/>
    <xf numFmtId="338" fontId="189" fillId="0" borderId="0"/>
    <xf numFmtId="338" fontId="188" fillId="0" borderId="0"/>
    <xf numFmtId="229" fontId="12" fillId="0" borderId="0" applyFill="0" applyBorder="0" applyAlignment="0"/>
    <xf numFmtId="229" fontId="12" fillId="0" borderId="0" applyFill="0" applyBorder="0" applyAlignment="0"/>
    <xf numFmtId="230" fontId="12" fillId="0" borderId="0" applyFill="0" applyBorder="0" applyAlignment="0"/>
    <xf numFmtId="231" fontId="12" fillId="0" borderId="0" applyFill="0" applyBorder="0" applyAlignment="0"/>
    <xf numFmtId="232" fontId="12" fillId="0" borderId="0" applyFill="0" applyBorder="0" applyAlignment="0"/>
    <xf numFmtId="229" fontId="12" fillId="0" borderId="0" applyFill="0" applyBorder="0" applyAlignment="0"/>
    <xf numFmtId="233" fontId="12" fillId="0" borderId="0" applyFill="0" applyBorder="0" applyAlignment="0"/>
    <xf numFmtId="229" fontId="12" fillId="0" borderId="0" applyFill="0" applyBorder="0" applyAlignment="0"/>
    <xf numFmtId="338" fontId="217" fillId="29" borderId="14" applyNumberFormat="0" applyAlignment="0" applyProtection="0"/>
    <xf numFmtId="37" fontId="212" fillId="0" borderId="15"/>
    <xf numFmtId="234" fontId="59" fillId="30" borderId="0" applyNumberFormat="0" applyFont="0" applyBorder="0" applyAlignment="0">
      <protection locked="0"/>
    </xf>
    <xf numFmtId="235" fontId="16" fillId="0" borderId="0" applyFill="0" applyBorder="0" applyProtection="0"/>
    <xf numFmtId="338" fontId="190" fillId="0" borderId="0"/>
    <xf numFmtId="338" fontId="60" fillId="31" borderId="15"/>
    <xf numFmtId="338" fontId="23" fillId="0" borderId="0" applyFill="0" applyBorder="0" applyProtection="0">
      <alignment horizontal="center"/>
      <protection locked="0"/>
    </xf>
    <xf numFmtId="338" fontId="141" fillId="0" borderId="0"/>
    <xf numFmtId="338" fontId="218" fillId="32" borderId="16" applyNumberFormat="0" applyAlignment="0" applyProtection="0"/>
    <xf numFmtId="338" fontId="61" fillId="0" borderId="0" applyNumberFormat="0" applyFill="0" applyBorder="0" applyAlignment="0" applyProtection="0"/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38" fontId="77" fillId="0" borderId="17">
      <alignment horizontal="left" wrapText="1"/>
    </xf>
    <xf numFmtId="38" fontId="63" fillId="0" borderId="17"/>
    <xf numFmtId="338" fontId="64" fillId="0" borderId="18">
      <alignment horizontal="center"/>
    </xf>
    <xf numFmtId="338" fontId="169" fillId="33" borderId="0"/>
    <xf numFmtId="43" fontId="10" fillId="0" borderId="0" applyFont="0" applyFill="0" applyBorder="0" applyAlignment="0" applyProtection="0"/>
    <xf numFmtId="229" fontId="12" fillId="0" borderId="0" applyFont="0" applyFill="0" applyBorder="0" applyAlignment="0" applyProtection="0"/>
    <xf numFmtId="38" fontId="65" fillId="0" borderId="0">
      <alignment horizontal="center"/>
      <protection locked="0"/>
    </xf>
    <xf numFmtId="236" fontId="66" fillId="0" borderId="0" applyFont="0" applyFill="0" applyBorder="0" applyAlignment="0" applyProtection="0">
      <alignment horizontal="right"/>
    </xf>
    <xf numFmtId="237" fontId="66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238" fontId="66" fillId="0" borderId="0" applyFont="0" applyFill="0" applyBorder="0" applyAlignment="0" applyProtection="0">
      <alignment horizontal="right"/>
    </xf>
    <xf numFmtId="43" fontId="214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20" fillId="0" borderId="0" applyFont="0" applyFill="0" applyBorder="0" applyAlignment="0" applyProtection="0"/>
    <xf numFmtId="239" fontId="12" fillId="0" borderId="0" applyFont="0" applyFill="0" applyBorder="0" applyAlignment="0" applyProtection="0"/>
    <xf numFmtId="43" fontId="22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20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214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37" fontId="16" fillId="0" borderId="0" applyFill="0" applyBorder="0" applyAlignment="0" applyProtection="0"/>
    <xf numFmtId="335" fontId="181" fillId="0" borderId="0"/>
    <xf numFmtId="38" fontId="67" fillId="0" borderId="0" applyFont="0" applyFill="0" applyBorder="0" applyAlignment="0" applyProtection="0"/>
    <xf numFmtId="164" fontId="67" fillId="0" borderId="0" applyFont="0" applyFill="0" applyBorder="0" applyAlignment="0" applyProtection="0"/>
    <xf numFmtId="39" fontId="67" fillId="0" borderId="0" applyFont="0" applyFill="0" applyBorder="0" applyAlignment="0" applyProtection="0"/>
    <xf numFmtId="338" fontId="68" fillId="0" borderId="0" applyFill="0" applyBorder="0" applyAlignment="0" applyProtection="0">
      <protection locked="0"/>
    </xf>
    <xf numFmtId="240" fontId="69" fillId="0" borderId="0" applyFill="0" applyBorder="0">
      <alignment horizontal="left"/>
    </xf>
    <xf numFmtId="338" fontId="70" fillId="0" borderId="0" applyNumberFormat="0" applyAlignment="0">
      <alignment horizontal="left"/>
    </xf>
    <xf numFmtId="338" fontId="222" fillId="0" borderId="0" applyNumberFormat="0" applyAlignment="0">
      <alignment horizontal="left"/>
    </xf>
    <xf numFmtId="338" fontId="222" fillId="0" borderId="0" applyNumberFormat="0" applyAlignment="0">
      <alignment horizontal="left"/>
    </xf>
    <xf numFmtId="338" fontId="222" fillId="0" borderId="0" applyNumberFormat="0" applyAlignment="0">
      <alignment horizontal="left"/>
    </xf>
    <xf numFmtId="338" fontId="222" fillId="0" borderId="0" applyNumberFormat="0" applyAlignment="0">
      <alignment horizontal="left"/>
    </xf>
    <xf numFmtId="338" fontId="222" fillId="0" borderId="0" applyNumberFormat="0" applyAlignment="0">
      <alignment horizontal="left"/>
    </xf>
    <xf numFmtId="338" fontId="222" fillId="0" borderId="0" applyNumberFormat="0" applyAlignment="0">
      <alignment horizontal="left"/>
    </xf>
    <xf numFmtId="338" fontId="71" fillId="0" borderId="0"/>
    <xf numFmtId="338" fontId="72" fillId="0" borderId="15"/>
    <xf numFmtId="229" fontId="12" fillId="0" borderId="0" applyFont="0" applyFill="0" applyBorder="0" applyAlignment="0" applyProtection="0"/>
    <xf numFmtId="241" fontId="44" fillId="0" borderId="0" applyFont="0" applyFill="0" applyBorder="0" applyAlignment="0"/>
    <xf numFmtId="7" fontId="12" fillId="0" borderId="0" applyFont="0" applyFill="0" applyBorder="0" applyAlignment="0"/>
    <xf numFmtId="242" fontId="66" fillId="0" borderId="0" applyFont="0" applyFill="0" applyBorder="0" applyAlignment="0" applyProtection="0">
      <alignment horizontal="right"/>
    </xf>
    <xf numFmtId="243" fontId="66" fillId="0" borderId="0" applyFont="0" applyFill="0" applyBorder="0" applyAlignment="0" applyProtection="0">
      <alignment horizontal="right"/>
    </xf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9" fillId="0" borderId="0" applyFont="0" applyFill="0" applyBorder="0" applyAlignment="0" applyProtection="0"/>
    <xf numFmtId="244" fontId="12" fillId="0" borderId="0" applyFont="0" applyFill="0" applyBorder="0" applyAlignment="0" applyProtection="0"/>
    <xf numFmtId="44" fontId="220" fillId="0" borderId="0" applyFont="0" applyFill="0" applyBorder="0" applyAlignment="0" applyProtection="0"/>
    <xf numFmtId="44" fontId="19" fillId="0" borderId="0" applyFont="0" applyFill="0" applyBorder="0" applyAlignment="0" applyProtection="0"/>
    <xf numFmtId="245" fontId="12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8" fontId="15" fillId="5" borderId="1">
      <alignment horizontal="right"/>
    </xf>
    <xf numFmtId="6" fontId="67" fillId="0" borderId="0" applyFont="0" applyFill="0" applyBorder="0" applyAlignment="0" applyProtection="0"/>
    <xf numFmtId="165" fontId="73" fillId="5" borderId="0">
      <alignment horizontal="right"/>
    </xf>
    <xf numFmtId="14" fontId="12" fillId="0" borderId="0" applyFont="0" applyFill="0" applyBorder="0" applyAlignment="0" applyProtection="0">
      <alignment horizontal="center"/>
    </xf>
    <xf numFmtId="164" fontId="74" fillId="0" borderId="0" applyFont="0" applyFill="0" applyBorder="0" applyAlignment="0" applyProtection="0"/>
    <xf numFmtId="164" fontId="12" fillId="0" borderId="0" applyNumberFormat="0" applyAlignment="0">
      <alignment horizontal="left"/>
      <protection locked="0"/>
    </xf>
    <xf numFmtId="338" fontId="75" fillId="0" borderId="0"/>
    <xf numFmtId="338" fontId="76" fillId="0" borderId="0" applyNumberFormat="0" applyAlignment="0"/>
    <xf numFmtId="338" fontId="12" fillId="0" borderId="0" applyFont="0" applyFill="0" applyBorder="0" applyAlignment="0" applyProtection="0"/>
    <xf numFmtId="15" fontId="77" fillId="0" borderId="0" applyFill="0" applyBorder="0" applyAlignment="0"/>
    <xf numFmtId="246" fontId="77" fillId="34" borderId="0" applyFont="0" applyFill="0" applyBorder="0" applyAlignment="0" applyProtection="0"/>
    <xf numFmtId="247" fontId="78" fillId="34" borderId="6" applyFont="0" applyFill="0" applyBorder="0" applyAlignment="0" applyProtection="0"/>
    <xf numFmtId="246" fontId="59" fillId="34" borderId="0" applyFont="0" applyFill="0" applyBorder="0" applyAlignment="0" applyProtection="0"/>
    <xf numFmtId="17" fontId="77" fillId="0" borderId="0" applyFill="0" applyBorder="0">
      <alignment horizontal="right"/>
    </xf>
    <xf numFmtId="248" fontId="66" fillId="0" borderId="0" applyFont="0" applyFill="0" applyBorder="0" applyAlignment="0" applyProtection="0"/>
    <xf numFmtId="14" fontId="79" fillId="0" borderId="0" applyFill="0" applyBorder="0" applyAlignment="0"/>
    <xf numFmtId="249" fontId="12" fillId="0" borderId="0" applyFont="0" applyFill="0" applyBorder="0" applyAlignment="0" applyProtection="0">
      <alignment horizontal="center"/>
    </xf>
    <xf numFmtId="14" fontId="14" fillId="5" borderId="0" applyFont="0" applyFill="0" applyBorder="0" applyAlignment="0" applyProtection="0"/>
    <xf numFmtId="17" fontId="19" fillId="0" borderId="0" applyFont="0" applyFill="0" applyBorder="0" applyAlignment="0" applyProtection="0">
      <alignment horizontal="center"/>
    </xf>
    <xf numFmtId="175" fontId="54" fillId="0" borderId="0" applyFont="0" applyFill="0" applyBorder="0" applyAlignment="0" applyProtection="0">
      <alignment horizontal="center"/>
    </xf>
    <xf numFmtId="250" fontId="54" fillId="0" borderId="9" applyFont="0" applyFill="0" applyBorder="0" applyAlignment="0" applyProtection="0">
      <alignment horizontal="center"/>
    </xf>
    <xf numFmtId="182" fontId="44" fillId="0" borderId="9" applyFont="0" applyFill="0" applyBorder="0" applyAlignment="0" applyProtection="0">
      <alignment horizontal="center"/>
    </xf>
    <xf numFmtId="14" fontId="80" fillId="0" borderId="0" applyFont="0" applyFill="0" applyBorder="0"/>
    <xf numFmtId="15" fontId="81" fillId="0" borderId="0" applyFont="0" applyFill="0" applyBorder="0" applyAlignment="0" applyProtection="0">
      <alignment horizontal="center"/>
    </xf>
    <xf numFmtId="235" fontId="12" fillId="0" borderId="0" applyFont="0" applyFill="0" applyBorder="0" applyAlignment="0" applyProtection="0">
      <alignment horizontal="center"/>
    </xf>
    <xf numFmtId="235" fontId="82" fillId="0" borderId="0" applyFont="0" applyFill="0" applyBorder="0" applyAlignment="0" applyProtection="0">
      <alignment horizontal="center"/>
    </xf>
    <xf numFmtId="338" fontId="14" fillId="0" borderId="0"/>
    <xf numFmtId="38" fontId="20" fillId="0" borderId="19">
      <alignment vertical="center"/>
    </xf>
    <xf numFmtId="251" fontId="12" fillId="0" borderId="0" applyFont="0" applyFill="0" applyBorder="0" applyAlignment="0" applyProtection="0"/>
    <xf numFmtId="252" fontId="12" fillId="0" borderId="0" applyFont="0" applyFill="0" applyBorder="0" applyAlignment="0" applyProtection="0"/>
    <xf numFmtId="8" fontId="16" fillId="0" borderId="0" applyFill="0" applyBorder="0" applyProtection="0"/>
    <xf numFmtId="7" fontId="44" fillId="0" borderId="0"/>
    <xf numFmtId="4" fontId="83" fillId="0" borderId="0" applyFont="0" applyFill="0" applyBorder="0" applyAlignment="0" applyProtection="0"/>
    <xf numFmtId="215" fontId="41" fillId="0" borderId="0" applyFont="0" applyFill="0" applyBorder="0" applyAlignment="0" applyProtection="0"/>
    <xf numFmtId="6" fontId="16" fillId="0" borderId="0" applyFont="0" applyFill="0" applyBorder="0" applyAlignment="0" applyProtection="0"/>
    <xf numFmtId="253" fontId="66" fillId="0" borderId="20" applyNumberFormat="0" applyFont="0" applyFill="0" applyAlignment="0" applyProtection="0"/>
    <xf numFmtId="338" fontId="84" fillId="0" borderId="21"/>
    <xf numFmtId="38" fontId="44" fillId="5" borderId="0" applyNumberFormat="0" applyFont="0" applyBorder="0" applyAlignment="0" applyProtection="0"/>
    <xf numFmtId="229" fontId="12" fillId="0" borderId="0" applyFill="0" applyBorder="0" applyAlignment="0"/>
    <xf numFmtId="229" fontId="12" fillId="0" borderId="0" applyFill="0" applyBorder="0" applyAlignment="0"/>
    <xf numFmtId="229" fontId="12" fillId="0" borderId="0" applyFill="0" applyBorder="0" applyAlignment="0"/>
    <xf numFmtId="233" fontId="12" fillId="0" borderId="0" applyFill="0" applyBorder="0" applyAlignment="0"/>
    <xf numFmtId="229" fontId="12" fillId="0" borderId="0" applyFill="0" applyBorder="0" applyAlignment="0"/>
    <xf numFmtId="338" fontId="85" fillId="0" borderId="0" applyNumberFormat="0" applyAlignment="0">
      <alignment horizontal="left"/>
    </xf>
    <xf numFmtId="338" fontId="223" fillId="0" borderId="0" applyNumberFormat="0" applyAlignment="0">
      <alignment horizontal="left"/>
    </xf>
    <xf numFmtId="338" fontId="223" fillId="0" borderId="0" applyNumberFormat="0" applyAlignment="0">
      <alignment horizontal="left"/>
    </xf>
    <xf numFmtId="338" fontId="223" fillId="0" borderId="0" applyNumberFormat="0" applyAlignment="0">
      <alignment horizontal="left"/>
    </xf>
    <xf numFmtId="338" fontId="223" fillId="0" borderId="0" applyNumberFormat="0" applyAlignment="0">
      <alignment horizontal="left"/>
    </xf>
    <xf numFmtId="338" fontId="223" fillId="0" borderId="0" applyNumberFormat="0" applyAlignment="0">
      <alignment horizontal="left"/>
    </xf>
    <xf numFmtId="338" fontId="223" fillId="0" borderId="0" applyNumberFormat="0" applyAlignment="0">
      <alignment horizontal="left"/>
    </xf>
    <xf numFmtId="338" fontId="86" fillId="0" borderId="0"/>
    <xf numFmtId="338" fontId="74" fillId="0" borderId="0" applyFont="0" applyFill="0" applyBorder="0" applyAlignment="0" applyProtection="0"/>
    <xf numFmtId="338" fontId="19" fillId="0" borderId="0" applyFont="0" applyFill="0" applyBorder="0" applyAlignment="0" applyProtection="0"/>
    <xf numFmtId="338" fontId="19" fillId="0" borderId="0" applyFont="0" applyFill="0" applyBorder="0" applyAlignment="0" applyProtection="0"/>
    <xf numFmtId="338" fontId="19" fillId="0" borderId="0" applyFont="0" applyFill="0" applyBorder="0" applyAlignment="0" applyProtection="0"/>
    <xf numFmtId="338" fontId="224" fillId="0" borderId="0" applyNumberFormat="0" applyFill="0" applyBorder="0" applyAlignment="0" applyProtection="0"/>
    <xf numFmtId="338" fontId="87" fillId="0" borderId="0">
      <protection locked="0"/>
    </xf>
    <xf numFmtId="338" fontId="87" fillId="0" borderId="0">
      <protection locked="0"/>
    </xf>
    <xf numFmtId="338" fontId="87" fillId="0" borderId="0">
      <protection locked="0"/>
    </xf>
    <xf numFmtId="338" fontId="87" fillId="0" borderId="0">
      <protection locked="0"/>
    </xf>
    <xf numFmtId="338" fontId="87" fillId="0" borderId="0">
      <protection locked="0"/>
    </xf>
    <xf numFmtId="338" fontId="87" fillId="0" borderId="0">
      <protection locked="0"/>
    </xf>
    <xf numFmtId="338" fontId="87" fillId="0" borderId="0">
      <protection locked="0"/>
    </xf>
    <xf numFmtId="40" fontId="19" fillId="0" borderId="0" applyNumberFormat="0">
      <alignment horizontal="right"/>
    </xf>
    <xf numFmtId="38" fontId="59" fillId="0" borderId="0" applyFont="0" applyFill="0" applyBorder="0" applyAlignment="0" applyProtection="0">
      <alignment horizontal="center"/>
    </xf>
    <xf numFmtId="254" fontId="12" fillId="34" borderId="0" applyFont="0" applyFill="0" applyBorder="0" applyAlignment="0"/>
    <xf numFmtId="2" fontId="12" fillId="0" borderId="0" applyFont="0" applyFill="0" applyBorder="0" applyAlignment="0" applyProtection="0"/>
    <xf numFmtId="255" fontId="12" fillId="0" borderId="0" applyFont="0" applyFill="0" applyBorder="0" applyAlignment="0"/>
    <xf numFmtId="256" fontId="44" fillId="0" borderId="0">
      <alignment horizontal="left"/>
    </xf>
    <xf numFmtId="257" fontId="12" fillId="35" borderId="0">
      <alignment horizontal="center"/>
      <protection locked="0"/>
    </xf>
    <xf numFmtId="258" fontId="88" fillId="0" borderId="0">
      <alignment horizontal="right"/>
    </xf>
    <xf numFmtId="2" fontId="19" fillId="34" borderId="8" applyFill="0" applyBorder="0" applyProtection="0">
      <alignment horizontal="center"/>
    </xf>
    <xf numFmtId="338" fontId="225" fillId="8" borderId="0" applyNumberFormat="0" applyBorder="0" applyAlignment="0" applyProtection="0"/>
    <xf numFmtId="38" fontId="44" fillId="5" borderId="0" applyNumberFormat="0" applyBorder="0" applyAlignment="0" applyProtection="0"/>
    <xf numFmtId="183" fontId="44" fillId="0" borderId="0" applyFill="0" applyBorder="0" applyAlignment="0" applyProtection="0">
      <alignment horizontal="right"/>
    </xf>
    <xf numFmtId="183" fontId="44" fillId="0" borderId="0" applyFill="0" applyBorder="0" applyAlignment="0" applyProtection="0"/>
    <xf numFmtId="338" fontId="66" fillId="0" borderId="0" applyFont="0" applyFill="0" applyBorder="0" applyAlignment="0" applyProtection="0">
      <alignment horizontal="right"/>
    </xf>
    <xf numFmtId="37" fontId="89" fillId="4" borderId="22" applyBorder="0">
      <alignment horizontal="left" vertical="center" indent="1"/>
    </xf>
    <xf numFmtId="37" fontId="90" fillId="5" borderId="23" applyBorder="0">
      <alignment horizontal="left" vertical="center" indent="1"/>
    </xf>
    <xf numFmtId="338" fontId="12" fillId="0" borderId="0"/>
    <xf numFmtId="338" fontId="91" fillId="0" borderId="24" applyNumberFormat="0" applyAlignment="0" applyProtection="0">
      <alignment horizontal="left" vertical="center"/>
    </xf>
    <xf numFmtId="338" fontId="91" fillId="0" borderId="24" applyNumberFormat="0" applyAlignment="0" applyProtection="0">
      <alignment horizontal="left" vertical="center"/>
    </xf>
    <xf numFmtId="338" fontId="91" fillId="0" borderId="24" applyNumberFormat="0" applyAlignment="0" applyProtection="0">
      <alignment horizontal="left" vertical="center"/>
    </xf>
    <xf numFmtId="338" fontId="91" fillId="0" borderId="24" applyNumberFormat="0" applyAlignment="0" applyProtection="0">
      <alignment horizontal="left" vertical="center"/>
    </xf>
    <xf numFmtId="338" fontId="91" fillId="0" borderId="24" applyNumberFormat="0" applyAlignment="0" applyProtection="0">
      <alignment horizontal="left" vertical="center"/>
    </xf>
    <xf numFmtId="338" fontId="91" fillId="0" borderId="24" applyNumberFormat="0" applyAlignment="0" applyProtection="0">
      <alignment horizontal="left" vertical="center"/>
    </xf>
    <xf numFmtId="338" fontId="91" fillId="0" borderId="24" applyNumberFormat="0" applyAlignment="0" applyProtection="0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0" fillId="0" borderId="2" applyNumberFormat="0" applyFill="0">
      <alignment horizontal="centerContinuous" vertical="top"/>
    </xf>
    <xf numFmtId="338" fontId="92" fillId="24" borderId="26" applyNumberFormat="0" applyBorder="0">
      <alignment horizontal="left" vertical="center" indent="1"/>
    </xf>
    <xf numFmtId="338" fontId="93" fillId="0" borderId="0">
      <alignment horizontal="centerContinuous" vertical="center"/>
    </xf>
    <xf numFmtId="338" fontId="94" fillId="0" borderId="0" applyNumberFormat="0" applyFont="0" applyFill="0" applyBorder="0" applyProtection="0"/>
    <xf numFmtId="338" fontId="95" fillId="0" borderId="0" applyNumberFormat="0" applyFont="0" applyFill="0" applyBorder="0" applyProtection="0"/>
    <xf numFmtId="338" fontId="96" fillId="0" borderId="0" applyProtection="0">
      <alignment horizontal="left"/>
    </xf>
    <xf numFmtId="338" fontId="226" fillId="0" borderId="0" applyNumberFormat="0" applyFill="0" applyBorder="0" applyAlignment="0" applyProtection="0"/>
    <xf numFmtId="164" fontId="44" fillId="0" borderId="13">
      <alignment horizontal="right" vertical="center"/>
    </xf>
    <xf numFmtId="338" fontId="23" fillId="0" borderId="0" applyFill="0" applyAlignment="0" applyProtection="0">
      <protection locked="0"/>
    </xf>
    <xf numFmtId="338" fontId="97" fillId="0" borderId="13" applyFill="0" applyAlignment="0" applyProtection="0">
      <protection locked="0"/>
    </xf>
    <xf numFmtId="338" fontId="87" fillId="0" borderId="0">
      <protection locked="0"/>
    </xf>
    <xf numFmtId="338" fontId="87" fillId="0" borderId="0">
      <protection locked="0"/>
    </xf>
    <xf numFmtId="338" fontId="98" fillId="0" borderId="2">
      <alignment horizontal="center"/>
    </xf>
    <xf numFmtId="338" fontId="98" fillId="0" borderId="0">
      <alignment horizontal="center"/>
    </xf>
    <xf numFmtId="171" fontId="16" fillId="36" borderId="0" applyFont="0" applyFill="0" applyBorder="0" applyAlignment="0" applyProtection="0">
      <alignment horizontal="left"/>
    </xf>
    <xf numFmtId="235" fontId="16" fillId="0" borderId="0" applyFill="0" applyBorder="0" applyAlignment="0" applyProtection="0"/>
    <xf numFmtId="38" fontId="78" fillId="0" borderId="0" applyNumberFormat="0" applyFill="0" applyBorder="0" applyAlignment="0">
      <protection locked="0"/>
    </xf>
    <xf numFmtId="10" fontId="44" fillId="34" borderId="15" applyNumberFormat="0" applyBorder="0" applyAlignment="0" applyProtection="0"/>
    <xf numFmtId="8" fontId="44" fillId="34" borderId="0" applyFont="0" applyBorder="0" applyAlignment="0" applyProtection="0">
      <protection locked="0"/>
    </xf>
    <xf numFmtId="247" fontId="44" fillId="34" borderId="0" applyFont="0" applyBorder="0" applyAlignment="0" applyProtection="0">
      <protection locked="0"/>
    </xf>
    <xf numFmtId="254" fontId="44" fillId="34" borderId="0" applyFont="0" applyBorder="0" applyAlignment="0">
      <protection locked="0"/>
    </xf>
    <xf numFmtId="235" fontId="44" fillId="34" borderId="0">
      <protection locked="0"/>
    </xf>
    <xf numFmtId="259" fontId="44" fillId="34" borderId="0" applyFont="0" applyBorder="0" applyAlignment="0">
      <protection locked="0"/>
    </xf>
    <xf numFmtId="10" fontId="44" fillId="34" borderId="0">
      <protection locked="0"/>
    </xf>
    <xf numFmtId="235" fontId="99" fillId="34" borderId="0" applyNumberFormat="0" applyBorder="0" applyAlignment="0">
      <protection locked="0"/>
    </xf>
    <xf numFmtId="169" fontId="100" fillId="37" borderId="0"/>
    <xf numFmtId="338" fontId="101" fillId="0" borderId="0" applyNumberFormat="0" applyFill="0" applyBorder="0" applyAlignment="0">
      <protection locked="0"/>
    </xf>
    <xf numFmtId="235" fontId="44" fillId="34" borderId="0" applyNumberFormat="0" applyFont="0" applyBorder="0" applyAlignment="0" applyProtection="0">
      <alignment horizontal="center"/>
      <protection locked="0"/>
    </xf>
    <xf numFmtId="338" fontId="102" fillId="0" borderId="0" applyNumberFormat="0" applyFill="0" applyBorder="0" applyAlignment="0">
      <protection locked="0"/>
    </xf>
    <xf numFmtId="260" fontId="12" fillId="0" borderId="0" applyFill="0" applyBorder="0" applyAlignment="0">
      <protection locked="0"/>
    </xf>
    <xf numFmtId="261" fontId="74" fillId="0" borderId="0"/>
    <xf numFmtId="338" fontId="170" fillId="0" borderId="0"/>
    <xf numFmtId="338" fontId="12" fillId="0" borderId="0" applyFont="0" applyFill="0" applyBorder="0" applyAlignment="0" applyProtection="0"/>
    <xf numFmtId="165" fontId="84" fillId="5" borderId="0" applyFont="0">
      <alignment horizontal="center"/>
    </xf>
    <xf numFmtId="262" fontId="12" fillId="0" borderId="0" applyFont="0" applyFill="0" applyBorder="0" applyAlignment="0" applyProtection="0"/>
    <xf numFmtId="263" fontId="12" fillId="0" borderId="0" applyFont="0" applyFill="0" applyBorder="0" applyAlignment="0" applyProtection="0"/>
    <xf numFmtId="338" fontId="103" fillId="0" borderId="0" applyNumberFormat="0" applyFill="0" applyBorder="0" applyAlignment="0" applyProtection="0">
      <alignment vertical="top"/>
      <protection locked="0"/>
    </xf>
    <xf numFmtId="1" fontId="44" fillId="0" borderId="13" applyNumberFormat="0" applyFont="0" applyFill="0" applyAlignment="0" applyProtection="0">
      <alignment horizontal="center"/>
    </xf>
    <xf numFmtId="2" fontId="19" fillId="0" borderId="0" applyNumberFormat="0" applyBorder="0">
      <alignment horizontal="left"/>
    </xf>
    <xf numFmtId="338" fontId="91" fillId="38" borderId="27"/>
    <xf numFmtId="338" fontId="84" fillId="0" borderId="27"/>
    <xf numFmtId="338" fontId="91" fillId="38" borderId="27"/>
    <xf numFmtId="1" fontId="44" fillId="0" borderId="9" applyNumberFormat="0" applyFont="0" applyFill="0" applyProtection="0">
      <alignment horizontal="center"/>
    </xf>
    <xf numFmtId="229" fontId="12" fillId="0" borderId="0" applyFill="0" applyBorder="0" applyAlignment="0"/>
    <xf numFmtId="229" fontId="12" fillId="0" borderId="0" applyFill="0" applyBorder="0" applyAlignment="0"/>
    <xf numFmtId="229" fontId="12" fillId="0" borderId="0" applyFill="0" applyBorder="0" applyAlignment="0"/>
    <xf numFmtId="233" fontId="12" fillId="0" borderId="0" applyFill="0" applyBorder="0" applyAlignment="0"/>
    <xf numFmtId="229" fontId="12" fillId="0" borderId="0" applyFill="0" applyBorder="0" applyAlignment="0"/>
    <xf numFmtId="338" fontId="227" fillId="0" borderId="28" applyNumberFormat="0" applyFill="0" applyAlignment="0" applyProtection="0"/>
    <xf numFmtId="338" fontId="12" fillId="5" borderId="0"/>
    <xf numFmtId="338" fontId="74" fillId="0" borderId="0" applyNumberFormat="0" applyFill="0" applyBorder="0" applyAlignment="0" applyProtection="0"/>
    <xf numFmtId="338" fontId="74" fillId="0" borderId="0" applyNumberFormat="0" applyFill="0" applyBorder="0" applyAlignment="0" applyProtection="0"/>
    <xf numFmtId="338" fontId="104" fillId="0" borderId="0" applyNumberFormat="0" applyFill="0" applyBorder="0" applyAlignment="0" applyProtection="0"/>
    <xf numFmtId="235" fontId="44" fillId="0" borderId="0" applyFill="0" applyBorder="0" applyAlignment="0" applyProtection="0"/>
    <xf numFmtId="26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262" fontId="12" fillId="0" borderId="0" applyFont="0" applyFill="0" applyBorder="0" applyAlignment="0" applyProtection="0"/>
    <xf numFmtId="263" fontId="12" fillId="0" borderId="0" applyFont="0" applyFill="0" applyBorder="0" applyAlignment="0" applyProtection="0"/>
    <xf numFmtId="265" fontId="12" fillId="0" borderId="13" applyFont="0" applyFill="0" applyBorder="0" applyAlignment="0" applyProtection="0">
      <protection locked="0"/>
    </xf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66" fontId="12" fillId="0" borderId="0" applyFont="0" applyFill="0" applyBorder="0" applyAlignment="0" applyProtection="0"/>
    <xf numFmtId="267" fontId="12" fillId="0" borderId="0" applyFont="0" applyFill="0" applyBorder="0" applyAlignment="0" applyProtection="0"/>
    <xf numFmtId="268" fontId="12" fillId="0" borderId="0" applyFont="0" applyFill="0" applyBorder="0" applyAlignment="0" applyProtection="0"/>
    <xf numFmtId="338" fontId="192" fillId="0" borderId="2"/>
    <xf numFmtId="203" fontId="10" fillId="0" borderId="0" applyFont="0" applyFill="0" applyBorder="0" applyAlignment="0" applyProtection="0"/>
    <xf numFmtId="204" fontId="10" fillId="0" borderId="0" applyFont="0" applyFill="0" applyBorder="0" applyAlignment="0" applyProtection="0"/>
    <xf numFmtId="269" fontId="12" fillId="0" borderId="0" applyFont="0" applyFill="0" applyBorder="0" applyAlignment="0" applyProtection="0"/>
    <xf numFmtId="270" fontId="12" fillId="0" borderId="0" applyFont="0" applyFill="0" applyBorder="0" applyAlignment="0" applyProtection="0"/>
    <xf numFmtId="17" fontId="80" fillId="0" borderId="0" applyFont="0" applyFill="0" applyBorder="0">
      <alignment horizontal="right"/>
    </xf>
    <xf numFmtId="17" fontId="81" fillId="0" borderId="0" applyFont="0" applyFill="0" applyBorder="0" applyAlignment="0" applyProtection="0">
      <alignment horizontal="center"/>
    </xf>
    <xf numFmtId="271" fontId="74" fillId="0" borderId="13" applyFont="0" applyFill="0" applyBorder="0" applyProtection="0"/>
    <xf numFmtId="272" fontId="74" fillId="0" borderId="13" applyFont="0" applyFill="0" applyBorder="0" applyAlignment="0" applyProtection="0"/>
    <xf numFmtId="273" fontId="12" fillId="0" borderId="0" applyFont="0" applyFill="0" applyBorder="0" applyAlignment="0" applyProtection="0">
      <alignment horizontal="centerContinuous"/>
      <protection locked="0"/>
    </xf>
    <xf numFmtId="271" fontId="74" fillId="0" borderId="0" applyFont="0" applyFill="0" applyBorder="0" applyAlignment="0" applyProtection="0"/>
    <xf numFmtId="272" fontId="74" fillId="0" borderId="0" applyFont="0" applyFill="0" applyBorder="0" applyAlignment="0" applyProtection="0"/>
    <xf numFmtId="274" fontId="83" fillId="0" borderId="0" applyFont="0" applyFill="0" applyBorder="0" applyAlignment="0" applyProtection="0"/>
    <xf numFmtId="275" fontId="105" fillId="0" borderId="0" applyFont="0" applyFill="0" applyBorder="0" applyAlignment="0" applyProtection="0"/>
    <xf numFmtId="276" fontId="83" fillId="0" borderId="0" applyFont="0" applyFill="0" applyBorder="0" applyAlignment="0" applyProtection="0"/>
    <xf numFmtId="277" fontId="83" fillId="0" borderId="0" applyFont="0" applyFill="0" applyBorder="0" applyAlignment="0" applyProtection="0"/>
    <xf numFmtId="278" fontId="83" fillId="0" borderId="0" applyFont="0" applyFill="0" applyBorder="0" applyAlignment="0" applyProtection="0"/>
    <xf numFmtId="273" fontId="12" fillId="0" borderId="0" applyFont="0" applyFill="0" applyBorder="0" applyAlignment="0" applyProtection="0">
      <alignment horizontal="centerContinuous"/>
      <protection locked="0"/>
    </xf>
    <xf numFmtId="279" fontId="66" fillId="0" borderId="0" applyFont="0" applyFill="0" applyBorder="0" applyAlignment="0" applyProtection="0">
      <alignment horizontal="right"/>
    </xf>
    <xf numFmtId="173" fontId="44" fillId="5" borderId="0" applyFont="0" applyBorder="0" applyAlignment="0" applyProtection="0">
      <alignment horizontal="right"/>
      <protection hidden="1"/>
    </xf>
    <xf numFmtId="338" fontId="228" fillId="3" borderId="0" applyNumberFormat="0" applyBorder="0" applyAlignment="0" applyProtection="0"/>
    <xf numFmtId="40" fontId="28" fillId="0" borderId="0" applyFont="0" applyFill="0" applyBorder="0" applyAlignment="0" applyProtection="0">
      <alignment horizontal="center"/>
    </xf>
    <xf numFmtId="338" fontId="171" fillId="39" borderId="0"/>
    <xf numFmtId="338" fontId="51" fillId="40" borderId="0"/>
    <xf numFmtId="338" fontId="172" fillId="0" borderId="0"/>
    <xf numFmtId="338" fontId="58" fillId="0" borderId="0" applyNumberFormat="0" applyFill="0" applyAlignment="0" applyProtection="0"/>
    <xf numFmtId="338" fontId="58" fillId="0" borderId="0" applyNumberFormat="0" applyFill="0" applyAlignment="0" applyProtection="0"/>
    <xf numFmtId="338" fontId="58" fillId="0" borderId="0" applyNumberFormat="0" applyFill="0" applyAlignment="0" applyProtection="0"/>
    <xf numFmtId="338" fontId="58" fillId="0" borderId="0" applyNumberFormat="0" applyFill="0" applyAlignment="0" applyProtection="0"/>
    <xf numFmtId="338" fontId="58" fillId="0" borderId="0" applyNumberFormat="0" applyFill="0" applyAlignment="0" applyProtection="0"/>
    <xf numFmtId="338" fontId="58" fillId="0" borderId="0" applyNumberFormat="0" applyFill="0" applyAlignment="0" applyProtection="0"/>
    <xf numFmtId="37" fontId="106" fillId="0" borderId="0"/>
    <xf numFmtId="280" fontId="12" fillId="0" borderId="0"/>
    <xf numFmtId="338" fontId="107" fillId="5" borderId="0">
      <alignment horizontal="left" indent="1"/>
    </xf>
    <xf numFmtId="281" fontId="213" fillId="0" borderId="0"/>
    <xf numFmtId="338" fontId="72" fillId="0" borderId="0"/>
    <xf numFmtId="338" fontId="72" fillId="0" borderId="0"/>
    <xf numFmtId="338" fontId="72" fillId="0" borderId="0"/>
    <xf numFmtId="338" fontId="72" fillId="0" borderId="0"/>
    <xf numFmtId="338" fontId="193" fillId="0" borderId="0"/>
    <xf numFmtId="338" fontId="193" fillId="0" borderId="0"/>
    <xf numFmtId="338" fontId="71" fillId="0" borderId="0"/>
    <xf numFmtId="338" fontId="178" fillId="0" borderId="0"/>
    <xf numFmtId="38" fontId="44" fillId="0" borderId="0" applyFont="0" applyFill="0" applyBorder="0" applyAlignment="0"/>
    <xf numFmtId="235" fontId="12" fillId="0" borderId="0" applyFont="0" applyFill="0" applyBorder="0" applyAlignment="0"/>
    <xf numFmtId="40" fontId="44" fillId="0" borderId="0" applyFont="0" applyFill="0" applyBorder="0" applyAlignment="0"/>
    <xf numFmtId="282" fontId="44" fillId="0" borderId="0" applyFont="0" applyFill="0" applyBorder="0" applyAlignment="0"/>
    <xf numFmtId="338" fontId="214" fillId="0" borderId="0"/>
    <xf numFmtId="338" fontId="214" fillId="0" borderId="0"/>
    <xf numFmtId="338" fontId="19" fillId="0" borderId="0"/>
    <xf numFmtId="338" fontId="214" fillId="0" borderId="0"/>
    <xf numFmtId="338" fontId="214" fillId="0" borderId="0"/>
    <xf numFmtId="338" fontId="19" fillId="0" borderId="0"/>
    <xf numFmtId="338" fontId="19" fillId="0" borderId="0"/>
    <xf numFmtId="338" fontId="19" fillId="0" borderId="0"/>
    <xf numFmtId="338" fontId="19" fillId="0" borderId="0"/>
    <xf numFmtId="338" fontId="214" fillId="0" borderId="0"/>
    <xf numFmtId="338" fontId="214" fillId="0" borderId="0"/>
    <xf numFmtId="341" fontId="219" fillId="0" borderId="0"/>
    <xf numFmtId="338" fontId="214" fillId="0" borderId="0"/>
    <xf numFmtId="338" fontId="214" fillId="0" borderId="0"/>
    <xf numFmtId="339" fontId="214" fillId="0" borderId="0"/>
    <xf numFmtId="339" fontId="214" fillId="0" borderId="0"/>
    <xf numFmtId="341" fontId="219" fillId="0" borderId="0"/>
    <xf numFmtId="341" fontId="219" fillId="0" borderId="0"/>
    <xf numFmtId="37" fontId="46" fillId="24" borderId="25" applyBorder="0">
      <alignment horizontal="left" vertical="center" indent="2"/>
    </xf>
    <xf numFmtId="338" fontId="19" fillId="0" borderId="0"/>
    <xf numFmtId="338" fontId="19" fillId="0" borderId="0"/>
    <xf numFmtId="338" fontId="19" fillId="0" borderId="0"/>
    <xf numFmtId="338" fontId="19" fillId="0" borderId="0"/>
    <xf numFmtId="338" fontId="19" fillId="0" borderId="0"/>
    <xf numFmtId="338" fontId="19" fillId="0" borderId="0"/>
    <xf numFmtId="338" fontId="19" fillId="0" borderId="0"/>
    <xf numFmtId="338" fontId="219" fillId="0" borderId="0"/>
    <xf numFmtId="338" fontId="219" fillId="0" borderId="0"/>
    <xf numFmtId="338" fontId="219" fillId="0" borderId="0"/>
    <xf numFmtId="338" fontId="19" fillId="0" borderId="0"/>
    <xf numFmtId="338" fontId="19" fillId="0" borderId="0"/>
    <xf numFmtId="338" fontId="19" fillId="0" borderId="0"/>
    <xf numFmtId="338" fontId="19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41" fontId="219" fillId="0" borderId="0"/>
    <xf numFmtId="338" fontId="219" fillId="0" borderId="0"/>
    <xf numFmtId="341" fontId="219" fillId="0" borderId="0"/>
    <xf numFmtId="338" fontId="221" fillId="0" borderId="0"/>
    <xf numFmtId="338" fontId="221" fillId="0" borderId="0"/>
    <xf numFmtId="174" fontId="219" fillId="0" borderId="0"/>
    <xf numFmtId="338" fontId="221" fillId="0" borderId="0"/>
    <xf numFmtId="338" fontId="221" fillId="0" borderId="0"/>
    <xf numFmtId="338" fontId="221" fillId="0" borderId="0"/>
    <xf numFmtId="338" fontId="221" fillId="0" borderId="0"/>
    <xf numFmtId="338" fontId="214" fillId="0" borderId="0"/>
    <xf numFmtId="338" fontId="214" fillId="0" borderId="0"/>
    <xf numFmtId="341" fontId="219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14" fillId="0" borderId="0">
      <alignment vertical="center"/>
    </xf>
    <xf numFmtId="174" fontId="219" fillId="0" borderId="0"/>
    <xf numFmtId="338" fontId="14" fillId="0" borderId="0">
      <alignment vertical="center"/>
    </xf>
    <xf numFmtId="338" fontId="14" fillId="0" borderId="0">
      <alignment vertical="center"/>
    </xf>
    <xf numFmtId="338" fontId="19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214" fillId="0" borderId="0"/>
    <xf numFmtId="338" fontId="219" fillId="0" borderId="0"/>
    <xf numFmtId="338" fontId="214" fillId="0" borderId="0"/>
    <xf numFmtId="338" fontId="214" fillId="0" borderId="0"/>
    <xf numFmtId="340" fontId="219" fillId="0" borderId="0"/>
    <xf numFmtId="340" fontId="219" fillId="0" borderId="0"/>
    <xf numFmtId="235" fontId="77" fillId="0" borderId="0" applyNumberFormat="0" applyFill="0" applyBorder="0" applyAlignment="0" applyProtection="0"/>
    <xf numFmtId="1" fontId="81" fillId="0" borderId="0" applyFont="0" applyFill="0" applyBorder="0" applyAlignment="0" applyProtection="0">
      <alignment horizontal="center"/>
    </xf>
    <xf numFmtId="283" fontId="44" fillId="0" borderId="0" applyFont="0" applyFill="0" applyBorder="0" applyAlignment="0" applyProtection="0"/>
    <xf numFmtId="338" fontId="12" fillId="0" borderId="0"/>
    <xf numFmtId="235" fontId="19" fillId="0" borderId="0">
      <alignment horizontal="right"/>
    </xf>
    <xf numFmtId="235" fontId="44" fillId="0" borderId="0"/>
    <xf numFmtId="338" fontId="19" fillId="0" borderId="0" applyFont="0" applyFill="0" applyBorder="0" applyAlignment="0" applyProtection="0">
      <alignment horizontal="centerContinuous"/>
    </xf>
    <xf numFmtId="40" fontId="44" fillId="0" borderId="0"/>
    <xf numFmtId="338" fontId="19" fillId="0" borderId="0" applyFont="0" applyFill="0" applyBorder="0" applyAlignment="0" applyProtection="0">
      <alignment horizontal="centerContinuous"/>
    </xf>
    <xf numFmtId="284" fontId="12" fillId="0" borderId="0"/>
    <xf numFmtId="338" fontId="19" fillId="0" borderId="0" applyFont="0" applyFill="0" applyBorder="0" applyAlignment="0" applyProtection="0">
      <alignment horizontal="centerContinuous"/>
    </xf>
    <xf numFmtId="38" fontId="12" fillId="0" borderId="0"/>
    <xf numFmtId="40" fontId="77" fillId="0" borderId="0">
      <alignment horizontal="left"/>
    </xf>
    <xf numFmtId="338" fontId="12" fillId="0" borderId="0"/>
    <xf numFmtId="234" fontId="108" fillId="0" borderId="0">
      <alignment horizontal="right"/>
    </xf>
    <xf numFmtId="338" fontId="109" fillId="0" borderId="0"/>
    <xf numFmtId="39" fontId="59" fillId="0" borderId="0"/>
    <xf numFmtId="40" fontId="19" fillId="0" borderId="0" applyBorder="0">
      <alignment horizontal="right"/>
    </xf>
    <xf numFmtId="338" fontId="219" fillId="41" borderId="29" applyNumberFormat="0" applyFont="0" applyAlignment="0" applyProtection="0"/>
    <xf numFmtId="235" fontId="44" fillId="0" borderId="0" applyFont="0" applyFill="0" applyBorder="0" applyAlignment="0" applyProtection="0"/>
    <xf numFmtId="285" fontId="110" fillId="0" borderId="0"/>
    <xf numFmtId="40" fontId="19" fillId="0" borderId="0" applyFont="0" applyFill="0" applyBorder="0" applyAlignment="0" applyProtection="0">
      <alignment horizontal="center"/>
    </xf>
    <xf numFmtId="43" fontId="42" fillId="0" borderId="0" applyFont="0" applyFill="0" applyBorder="0" applyAlignment="0" applyProtection="0"/>
    <xf numFmtId="41" fontId="42" fillId="0" borderId="0" applyFont="0" applyFill="0" applyBorder="0" applyAlignment="0" applyProtection="0"/>
    <xf numFmtId="338" fontId="111" fillId="0" borderId="0"/>
    <xf numFmtId="338" fontId="229" fillId="29" borderId="30" applyNumberFormat="0" applyAlignment="0" applyProtection="0"/>
    <xf numFmtId="40" fontId="112" fillId="24" borderId="0">
      <alignment horizontal="right"/>
    </xf>
    <xf numFmtId="338" fontId="113" fillId="24" borderId="0">
      <alignment horizontal="right"/>
    </xf>
    <xf numFmtId="338" fontId="114" fillId="24" borderId="31"/>
    <xf numFmtId="338" fontId="114" fillId="0" borderId="0" applyBorder="0">
      <alignment horizontal="centerContinuous"/>
    </xf>
    <xf numFmtId="338" fontId="115" fillId="0" borderId="0" applyBorder="0">
      <alignment horizontal="centerContinuous"/>
    </xf>
    <xf numFmtId="338" fontId="116" fillId="0" borderId="13" applyNumberFormat="0" applyFill="0" applyBorder="0" applyAlignment="0">
      <protection locked="0"/>
    </xf>
    <xf numFmtId="286" fontId="117" fillId="0" borderId="0"/>
    <xf numFmtId="286" fontId="117" fillId="0" borderId="0"/>
    <xf numFmtId="1" fontId="118" fillId="0" borderId="0" applyProtection="0">
      <alignment horizontal="right" vertical="center"/>
    </xf>
    <xf numFmtId="338" fontId="119" fillId="24" borderId="0"/>
    <xf numFmtId="338" fontId="81" fillId="0" borderId="0" applyNumberFormat="0" applyFill="0" applyBorder="0" applyAlignment="0" applyProtection="0"/>
    <xf numFmtId="287" fontId="44" fillId="0" borderId="0"/>
    <xf numFmtId="338" fontId="180" fillId="0" borderId="0" applyFont="0" applyFill="0" applyBorder="0" applyAlignment="0" applyProtection="0"/>
    <xf numFmtId="14" fontId="16" fillId="0" borderId="0">
      <alignment horizontal="center" wrapText="1"/>
      <protection locked="0"/>
    </xf>
    <xf numFmtId="338" fontId="71" fillId="0" borderId="0"/>
    <xf numFmtId="9" fontId="10" fillId="0" borderId="0" applyFont="0" applyFill="0" applyBorder="0" applyAlignment="0" applyProtection="0"/>
    <xf numFmtId="288" fontId="12" fillId="0" borderId="0" applyFont="0" applyFill="0" applyBorder="0" applyAlignment="0" applyProtection="0"/>
    <xf numFmtId="232" fontId="12" fillId="0" borderId="0" applyFont="0" applyFill="0" applyBorder="0" applyAlignment="0" applyProtection="0"/>
    <xf numFmtId="289" fontId="12" fillId="0" borderId="0" applyFont="0" applyFill="0" applyBorder="0" applyAlignment="0" applyProtection="0"/>
    <xf numFmtId="259" fontId="44" fillId="0" borderId="0" applyFont="0" applyFill="0" applyBorder="0" applyAlignment="0"/>
    <xf numFmtId="290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20" fillId="0" borderId="0" applyFont="0" applyFill="0" applyBorder="0" applyAlignment="0" applyProtection="0"/>
    <xf numFmtId="9" fontId="220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4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219" fillId="0" borderId="0" applyFont="0" applyFill="0" applyBorder="0" applyAlignment="0" applyProtection="0"/>
    <xf numFmtId="9" fontId="19" fillId="0" borderId="0" applyFont="0" applyFill="0" applyBorder="0" applyAlignment="0" applyProtection="0"/>
    <xf numFmtId="259" fontId="81" fillId="0" borderId="0" applyFont="0" applyFill="0" applyBorder="0" applyAlignment="0" applyProtection="0">
      <alignment horizontal="center"/>
    </xf>
    <xf numFmtId="338" fontId="16" fillId="0" borderId="0" applyFill="0" applyBorder="0" applyAlignment="0" applyProtection="0"/>
    <xf numFmtId="292" fontId="12" fillId="0" borderId="0" applyFont="0" applyFill="0" applyBorder="0" applyAlignment="0" applyProtection="0"/>
    <xf numFmtId="293" fontId="12" fillId="0" borderId="0" applyFont="0" applyFill="0" applyBorder="0" applyAlignment="0" applyProtection="0"/>
    <xf numFmtId="233" fontId="12" fillId="0" borderId="0" applyFont="0" applyFill="0" applyBorder="0" applyAlignment="0" applyProtection="0"/>
    <xf numFmtId="294" fontId="120" fillId="0" borderId="0" applyFont="0" applyFill="0" applyBorder="0" applyAlignment="0" applyProtection="0">
      <protection locked="0"/>
    </xf>
    <xf numFmtId="295" fontId="44" fillId="0" borderId="0" applyFont="0" applyFill="0" applyBorder="0" applyAlignment="0" applyProtection="0"/>
    <xf numFmtId="296" fontId="59" fillId="0" borderId="0" applyFont="0" applyFill="0" applyBorder="0" applyAlignment="0" applyProtection="0"/>
    <xf numFmtId="338" fontId="121" fillId="0" borderId="0"/>
    <xf numFmtId="229" fontId="12" fillId="0" borderId="0" applyFill="0" applyBorder="0" applyAlignment="0"/>
    <xf numFmtId="229" fontId="12" fillId="0" borderId="0" applyFill="0" applyBorder="0" applyAlignment="0"/>
    <xf numFmtId="229" fontId="12" fillId="0" borderId="0" applyFill="0" applyBorder="0" applyAlignment="0"/>
    <xf numFmtId="233" fontId="12" fillId="0" borderId="0" applyFill="0" applyBorder="0" applyAlignment="0"/>
    <xf numFmtId="229" fontId="12" fillId="0" borderId="0" applyFill="0" applyBorder="0" applyAlignment="0"/>
    <xf numFmtId="8" fontId="122" fillId="0" borderId="32">
      <alignment horizontal="right"/>
    </xf>
    <xf numFmtId="338" fontId="123" fillId="28" borderId="0">
      <alignment horizontal="left" indent="1"/>
    </xf>
    <xf numFmtId="338" fontId="12" fillId="0" borderId="0" applyNumberFormat="0" applyFont="0" applyFill="0" applyBorder="0" applyAlignment="0">
      <protection hidden="1"/>
    </xf>
    <xf numFmtId="338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338" fontId="57" fillId="0" borderId="2">
      <alignment horizontal="center"/>
    </xf>
    <xf numFmtId="3" fontId="20" fillId="0" borderId="0" applyFont="0" applyFill="0" applyBorder="0" applyAlignment="0" applyProtection="0"/>
    <xf numFmtId="338" fontId="20" fillId="42" borderId="0" applyNumberFormat="0" applyFont="0" applyBorder="0" applyAlignment="0" applyProtection="0"/>
    <xf numFmtId="319" fontId="19" fillId="0" borderId="0"/>
    <xf numFmtId="338" fontId="178" fillId="0" borderId="0"/>
    <xf numFmtId="338" fontId="178" fillId="0" borderId="0"/>
    <xf numFmtId="39" fontId="124" fillId="0" borderId="0" applyNumberFormat="0">
      <alignment horizontal="right"/>
    </xf>
    <xf numFmtId="235" fontId="125" fillId="0" borderId="0" applyNumberFormat="0" applyFill="0" applyBorder="0" applyAlignment="0" applyProtection="0">
      <alignment horizontal="left"/>
    </xf>
    <xf numFmtId="338" fontId="126" fillId="43" borderId="0" applyNumberFormat="0" applyFont="0" applyBorder="0" applyAlignment="0">
      <alignment horizontal="center"/>
    </xf>
    <xf numFmtId="297" fontId="12" fillId="0" borderId="33" applyBorder="0">
      <alignment horizontal="right"/>
    </xf>
    <xf numFmtId="298" fontId="110" fillId="0" borderId="0" applyNumberFormat="0" applyFill="0" applyBorder="0" applyAlignment="0" applyProtection="0">
      <alignment horizontal="left"/>
    </xf>
    <xf numFmtId="338" fontId="12" fillId="0" borderId="34" applyNumberFormat="0" applyFont="0" applyFill="0" applyAlignment="0" applyProtection="0"/>
    <xf numFmtId="338" fontId="23" fillId="0" borderId="0" applyNumberFormat="0" applyFill="0" applyBorder="0" applyProtection="0">
      <alignment horizontal="left"/>
    </xf>
    <xf numFmtId="338" fontId="127" fillId="0" borderId="35">
      <alignment vertical="center"/>
    </xf>
    <xf numFmtId="207" fontId="10" fillId="0" borderId="0" applyBorder="0" applyAlignment="0">
      <alignment horizontal="centerContinuous" vertical="center"/>
    </xf>
    <xf numFmtId="4" fontId="176" fillId="3" borderId="36" applyNumberFormat="0" applyProtection="0">
      <alignment vertical="center"/>
    </xf>
    <xf numFmtId="4" fontId="194" fillId="37" borderId="36" applyNumberFormat="0" applyProtection="0">
      <alignment vertical="center"/>
    </xf>
    <xf numFmtId="4" fontId="176" fillId="37" borderId="36" applyNumberFormat="0" applyProtection="0">
      <alignment horizontal="left" vertical="center" indent="1"/>
    </xf>
    <xf numFmtId="338" fontId="176" fillId="37" borderId="36" applyNumberFormat="0" applyProtection="0">
      <alignment horizontal="left" vertical="top" indent="1"/>
    </xf>
    <xf numFmtId="4" fontId="176" fillId="44" borderId="0" applyNumberFormat="0" applyProtection="0">
      <alignment horizontal="left" vertical="center" indent="1"/>
    </xf>
    <xf numFmtId="4" fontId="79" fillId="7" borderId="36" applyNumberFormat="0" applyProtection="0">
      <alignment horizontal="right" vertical="center"/>
    </xf>
    <xf numFmtId="4" fontId="79" fillId="13" borderId="36" applyNumberFormat="0" applyProtection="0">
      <alignment horizontal="right" vertical="center"/>
    </xf>
    <xf numFmtId="4" fontId="79" fillId="21" borderId="36" applyNumberFormat="0" applyProtection="0">
      <alignment horizontal="right" vertical="center"/>
    </xf>
    <xf numFmtId="4" fontId="79" fillId="15" borderId="36" applyNumberFormat="0" applyProtection="0">
      <alignment horizontal="right" vertical="center"/>
    </xf>
    <xf numFmtId="4" fontId="79" fillId="19" borderId="36" applyNumberFormat="0" applyProtection="0">
      <alignment horizontal="right" vertical="center"/>
    </xf>
    <xf numFmtId="4" fontId="79" fillId="23" borderId="36" applyNumberFormat="0" applyProtection="0">
      <alignment horizontal="right" vertical="center"/>
    </xf>
    <xf numFmtId="4" fontId="79" fillId="22" borderId="36" applyNumberFormat="0" applyProtection="0">
      <alignment horizontal="right" vertical="center"/>
    </xf>
    <xf numFmtId="4" fontId="79" fillId="45" borderId="36" applyNumberFormat="0" applyProtection="0">
      <alignment horizontal="right" vertical="center"/>
    </xf>
    <xf numFmtId="4" fontId="79" fillId="14" borderId="36" applyNumberFormat="0" applyProtection="0">
      <alignment horizontal="right" vertical="center"/>
    </xf>
    <xf numFmtId="4" fontId="176" fillId="46" borderId="37" applyNumberFormat="0" applyProtection="0">
      <alignment horizontal="left" vertical="center" indent="1"/>
    </xf>
    <xf numFmtId="4" fontId="79" fillId="47" borderId="0" applyNumberFormat="0" applyProtection="0">
      <alignment horizontal="left" vertical="center" indent="1"/>
    </xf>
    <xf numFmtId="4" fontId="195" fillId="48" borderId="0" applyNumberFormat="0" applyProtection="0">
      <alignment horizontal="left" vertical="center" indent="1"/>
    </xf>
    <xf numFmtId="4" fontId="79" fillId="49" borderId="36" applyNumberFormat="0" applyProtection="0">
      <alignment horizontal="right" vertical="center"/>
    </xf>
    <xf numFmtId="4" fontId="79" fillId="47" borderId="0" applyNumberFormat="0" applyProtection="0">
      <alignment horizontal="left" vertical="center" indent="1"/>
    </xf>
    <xf numFmtId="4" fontId="79" fillId="44" borderId="0" applyNumberFormat="0" applyProtection="0">
      <alignment horizontal="left" vertical="center" indent="1"/>
    </xf>
    <xf numFmtId="338" fontId="19" fillId="48" borderId="36" applyNumberFormat="0" applyProtection="0">
      <alignment horizontal="left" vertical="center" indent="1"/>
    </xf>
    <xf numFmtId="338" fontId="19" fillId="48" borderId="36" applyNumberFormat="0" applyProtection="0">
      <alignment horizontal="left" vertical="top" indent="1"/>
    </xf>
    <xf numFmtId="338" fontId="19" fillId="44" borderId="36" applyNumberFormat="0" applyProtection="0">
      <alignment horizontal="left" vertical="center" indent="1"/>
    </xf>
    <xf numFmtId="338" fontId="19" fillId="44" borderId="36" applyNumberFormat="0" applyProtection="0">
      <alignment horizontal="left" vertical="top" indent="1"/>
    </xf>
    <xf numFmtId="338" fontId="19" fillId="50" borderId="36" applyNumberFormat="0" applyProtection="0">
      <alignment horizontal="left" vertical="center" indent="1"/>
    </xf>
    <xf numFmtId="338" fontId="19" fillId="50" borderId="36" applyNumberFormat="0" applyProtection="0">
      <alignment horizontal="left" vertical="top" indent="1"/>
    </xf>
    <xf numFmtId="338" fontId="19" fillId="51" borderId="36" applyNumberFormat="0" applyProtection="0">
      <alignment horizontal="left" vertical="center" indent="1"/>
    </xf>
    <xf numFmtId="338" fontId="19" fillId="51" borderId="36" applyNumberFormat="0" applyProtection="0">
      <alignment horizontal="left" vertical="top" indent="1"/>
    </xf>
    <xf numFmtId="4" fontId="79" fillId="34" borderId="36" applyNumberFormat="0" applyProtection="0">
      <alignment vertical="center"/>
    </xf>
    <xf numFmtId="4" fontId="116" fillId="34" borderId="36" applyNumberFormat="0" applyProtection="0">
      <alignment vertical="center"/>
    </xf>
    <xf numFmtId="4" fontId="79" fillId="34" borderId="36" applyNumberFormat="0" applyProtection="0">
      <alignment horizontal="left" vertical="center" indent="1"/>
    </xf>
    <xf numFmtId="338" fontId="79" fillId="34" borderId="36" applyNumberFormat="0" applyProtection="0">
      <alignment horizontal="left" vertical="top" indent="1"/>
    </xf>
    <xf numFmtId="4" fontId="79" fillId="47" borderId="36" applyNumberFormat="0" applyProtection="0">
      <alignment horizontal="right" vertical="center"/>
    </xf>
    <xf numFmtId="4" fontId="116" fillId="47" borderId="36" applyNumberFormat="0" applyProtection="0">
      <alignment horizontal="right" vertical="center"/>
    </xf>
    <xf numFmtId="4" fontId="79" fillId="49" borderId="36" applyNumberFormat="0" applyProtection="0">
      <alignment horizontal="left" vertical="center" indent="1"/>
    </xf>
    <xf numFmtId="338" fontId="79" fillId="44" borderId="36" applyNumberFormat="0" applyProtection="0">
      <alignment horizontal="left" vertical="top" indent="1"/>
    </xf>
    <xf numFmtId="4" fontId="196" fillId="52" borderId="0" applyNumberFormat="0" applyProtection="0">
      <alignment horizontal="left" vertical="center" indent="1"/>
    </xf>
    <xf numFmtId="4" fontId="197" fillId="47" borderId="36" applyNumberFormat="0" applyProtection="0">
      <alignment horizontal="right" vertical="center"/>
    </xf>
    <xf numFmtId="338" fontId="128" fillId="0" borderId="38"/>
    <xf numFmtId="338" fontId="135" fillId="53" borderId="0">
      <alignment vertical="top"/>
    </xf>
    <xf numFmtId="299" fontId="18" fillId="0" borderId="0" applyFont="0" applyFill="0" applyBorder="0" applyAlignment="0" applyProtection="0">
      <alignment vertical="center"/>
    </xf>
    <xf numFmtId="338" fontId="126" fillId="1" borderId="25" applyNumberFormat="0" applyFont="0" applyAlignment="0">
      <alignment horizontal="center"/>
    </xf>
    <xf numFmtId="282" fontId="16" fillId="0" borderId="0" applyFont="0" applyFill="0" applyBorder="0" applyAlignment="0" applyProtection="0"/>
    <xf numFmtId="37" fontId="19" fillId="0" borderId="15" applyBorder="0">
      <alignment horizontal="right"/>
      <protection locked="0"/>
    </xf>
    <xf numFmtId="300" fontId="117" fillId="0" borderId="0">
      <alignment horizontal="center"/>
    </xf>
    <xf numFmtId="1" fontId="12" fillId="0" borderId="0"/>
    <xf numFmtId="301" fontId="129" fillId="0" borderId="0">
      <alignment horizontal="center"/>
    </xf>
    <xf numFmtId="338" fontId="58" fillId="0" borderId="13" applyNumberFormat="0" applyFill="0" applyAlignment="0" applyProtection="0"/>
    <xf numFmtId="338" fontId="58" fillId="0" borderId="13" applyNumberFormat="0" applyFill="0" applyAlignment="0" applyProtection="0"/>
    <xf numFmtId="338" fontId="58" fillId="0" borderId="13" applyNumberFormat="0" applyFill="0" applyAlignment="0" applyProtection="0"/>
    <xf numFmtId="338" fontId="58" fillId="0" borderId="13" applyNumberFormat="0" applyFill="0" applyAlignment="0" applyProtection="0"/>
    <xf numFmtId="338" fontId="58" fillId="0" borderId="13" applyNumberFormat="0" applyFill="0" applyAlignment="0" applyProtection="0"/>
    <xf numFmtId="338" fontId="58" fillId="0" borderId="13" applyNumberFormat="0" applyFill="0" applyAlignment="0" applyProtection="0"/>
    <xf numFmtId="338" fontId="58" fillId="0" borderId="13" applyNumberFormat="0" applyFill="0" applyAlignment="0" applyProtection="0"/>
    <xf numFmtId="338" fontId="84" fillId="0" borderId="34"/>
    <xf numFmtId="338" fontId="84" fillId="0" borderId="39"/>
    <xf numFmtId="338" fontId="84" fillId="0" borderId="40"/>
    <xf numFmtId="338" fontId="84" fillId="0" borderId="41"/>
    <xf numFmtId="1" fontId="19" fillId="0" borderId="0" applyNumberFormat="0" applyFill="0" applyBorder="0" applyAlignment="0" applyProtection="0">
      <alignment horizontal="center"/>
    </xf>
    <xf numFmtId="1" fontId="84" fillId="0" borderId="0" applyNumberFormat="0" applyFill="0" applyBorder="0" applyAlignment="0" applyProtection="0">
      <alignment horizontal="center"/>
    </xf>
    <xf numFmtId="338" fontId="130" fillId="0" borderId="0" applyNumberFormat="0" applyFill="0" applyBorder="0" applyAlignment="0">
      <alignment horizontal="center"/>
    </xf>
    <xf numFmtId="338" fontId="131" fillId="0" borderId="42" applyBorder="0" applyAlignment="0">
      <alignment horizontal="center"/>
    </xf>
    <xf numFmtId="240" fontId="198" fillId="0" borderId="0"/>
    <xf numFmtId="6" fontId="15" fillId="0" borderId="0">
      <alignment horizontal="right" vertical="center"/>
    </xf>
    <xf numFmtId="37" fontId="15" fillId="2" borderId="1">
      <alignment horizontal="right" vertical="center"/>
    </xf>
    <xf numFmtId="38" fontId="15" fillId="0" borderId="0">
      <alignment horizontal="right" vertical="center"/>
    </xf>
    <xf numFmtId="9" fontId="15" fillId="0" borderId="0">
      <alignment horizontal="right" vertical="center"/>
    </xf>
    <xf numFmtId="338" fontId="15" fillId="0" borderId="0"/>
    <xf numFmtId="338" fontId="132" fillId="0" borderId="42" applyBorder="0" applyAlignment="0">
      <alignment horizontal="center"/>
    </xf>
    <xf numFmtId="235" fontId="44" fillId="54" borderId="0" applyNumberFormat="0" applyFont="0" applyBorder="0" applyAlignment="0">
      <protection hidden="1"/>
    </xf>
    <xf numFmtId="338" fontId="133" fillId="0" borderId="0"/>
    <xf numFmtId="338" fontId="12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78" fillId="0" borderId="0" applyFont="0" applyFill="0" applyBorder="0" applyAlignment="0" applyProtection="0"/>
    <xf numFmtId="338" fontId="184" fillId="0" borderId="0"/>
    <xf numFmtId="338" fontId="134" fillId="0" borderId="0" applyNumberFormat="0" applyFill="0" applyBorder="0" applyProtection="0"/>
    <xf numFmtId="338" fontId="135" fillId="53" borderId="0" applyNumberFormat="0" applyBorder="0" applyProtection="0"/>
    <xf numFmtId="338" fontId="136" fillId="40" borderId="0" applyNumberFormat="0" applyBorder="0" applyProtection="0"/>
    <xf numFmtId="338" fontId="137" fillId="0" borderId="0" applyNumberFormat="0" applyFill="0" applyBorder="0" applyProtection="0"/>
    <xf numFmtId="338" fontId="136" fillId="0" borderId="0" applyNumberFormat="0" applyFill="0" applyBorder="0" applyProtection="0"/>
    <xf numFmtId="338" fontId="138" fillId="0" borderId="0" applyNumberFormat="0" applyFill="0" applyBorder="0" applyProtection="0"/>
    <xf numFmtId="338" fontId="136" fillId="0" borderId="0" applyNumberFormat="0" applyFill="0" applyBorder="0" applyProtection="0">
      <alignment wrapText="1"/>
    </xf>
    <xf numFmtId="338" fontId="139" fillId="0" borderId="0" applyNumberFormat="0" applyFill="0" applyBorder="0" applyProtection="0"/>
    <xf numFmtId="215" fontId="59" fillId="0" borderId="0" applyFill="0" applyBorder="0" applyProtection="0">
      <alignment horizontal="right" wrapText="1"/>
    </xf>
    <xf numFmtId="338" fontId="12" fillId="0" borderId="0">
      <alignment vertical="top"/>
    </xf>
    <xf numFmtId="4" fontId="59" fillId="0" borderId="0" applyFill="0" applyBorder="0" applyProtection="0">
      <alignment wrapText="1"/>
    </xf>
    <xf numFmtId="338" fontId="59" fillId="0" borderId="0" applyNumberFormat="0" applyFill="0" applyBorder="0" applyProtection="0">
      <alignment horizontal="left" vertical="top" wrapText="1"/>
    </xf>
    <xf numFmtId="338" fontId="64" fillId="0" borderId="0" applyNumberFormat="0" applyFill="0" applyBorder="0" applyProtection="0">
      <alignment horizontal="left" vertical="top" wrapText="1"/>
    </xf>
    <xf numFmtId="302" fontId="140" fillId="0" borderId="0" applyFill="0" applyBorder="0" applyProtection="0">
      <alignment horizontal="center" wrapText="1"/>
    </xf>
    <xf numFmtId="303" fontId="140" fillId="0" borderId="0" applyFill="0" applyBorder="0" applyProtection="0">
      <alignment horizontal="right" wrapText="1"/>
    </xf>
    <xf numFmtId="303" fontId="140" fillId="0" borderId="0" applyFill="0" applyBorder="0" applyProtection="0">
      <alignment horizontal="right" wrapText="1"/>
    </xf>
    <xf numFmtId="304" fontId="140" fillId="0" borderId="0" applyFill="0" applyBorder="0" applyProtection="0">
      <alignment horizontal="right" wrapText="1"/>
    </xf>
    <xf numFmtId="37" fontId="140" fillId="0" borderId="0" applyFill="0" applyBorder="0" applyProtection="0">
      <alignment horizontal="center" wrapText="1"/>
    </xf>
    <xf numFmtId="305" fontId="140" fillId="0" borderId="0" applyFill="0" applyBorder="0" applyProtection="0">
      <alignment horizontal="right"/>
    </xf>
    <xf numFmtId="306" fontId="140" fillId="0" borderId="0" applyFill="0" applyBorder="0" applyProtection="0">
      <alignment horizontal="right"/>
    </xf>
    <xf numFmtId="338" fontId="14" fillId="0" borderId="0">
      <alignment vertical="top"/>
    </xf>
    <xf numFmtId="307" fontId="140" fillId="0" borderId="0" applyFill="0" applyBorder="0" applyProtection="0">
      <alignment horizontal="right"/>
    </xf>
    <xf numFmtId="4" fontId="140" fillId="0" borderId="0" applyFill="0" applyBorder="0" applyProtection="0">
      <alignment wrapText="1"/>
    </xf>
    <xf numFmtId="338" fontId="64" fillId="0" borderId="43" applyNumberFormat="0" applyFill="0" applyProtection="0">
      <alignment wrapText="1"/>
    </xf>
    <xf numFmtId="338" fontId="62" fillId="0" borderId="0" applyNumberFormat="0" applyFill="0" applyBorder="0" applyProtection="0">
      <alignment wrapText="1"/>
    </xf>
    <xf numFmtId="338" fontId="64" fillId="0" borderId="43" applyNumberFormat="0" applyFill="0" applyProtection="0">
      <alignment horizontal="center" wrapText="1"/>
    </xf>
    <xf numFmtId="308" fontId="64" fillId="0" borderId="0" applyFill="0" applyBorder="0" applyProtection="0">
      <alignment horizontal="center" wrapText="1"/>
    </xf>
    <xf numFmtId="338" fontId="95" fillId="0" borderId="0" applyNumberFormat="0" applyFill="0" applyBorder="0" applyProtection="0">
      <alignment horizontal="justify" wrapText="1"/>
    </xf>
    <xf numFmtId="338" fontId="64" fillId="0" borderId="0" applyNumberFormat="0" applyFill="0" applyBorder="0" applyProtection="0">
      <alignment horizontal="centerContinuous" wrapText="1"/>
    </xf>
    <xf numFmtId="338" fontId="184" fillId="0" borderId="0"/>
    <xf numFmtId="338" fontId="184" fillId="0" borderId="0"/>
    <xf numFmtId="338" fontId="12" fillId="0" borderId="0">
      <alignment vertical="top"/>
    </xf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184" fillId="0" borderId="0"/>
    <xf numFmtId="338" fontId="59" fillId="0" borderId="0" applyNumberFormat="0" applyFill="0" applyBorder="0" applyAlignment="0" applyProtection="0"/>
    <xf numFmtId="338" fontId="59" fillId="0" borderId="0" applyNumberFormat="0" applyFill="0" applyBorder="0" applyAlignment="0" applyProtection="0"/>
    <xf numFmtId="338" fontId="184" fillId="0" borderId="0"/>
    <xf numFmtId="338" fontId="59" fillId="0" borderId="0" applyNumberFormat="0" applyFill="0" applyBorder="0" applyAlignment="0" applyProtection="0"/>
    <xf numFmtId="338" fontId="184" fillId="0" borderId="0"/>
    <xf numFmtId="338" fontId="59" fillId="0" borderId="0" applyNumberFormat="0" applyFill="0" applyBorder="0" applyAlignment="0" applyProtection="0"/>
    <xf numFmtId="338" fontId="141" fillId="0" borderId="0" applyNumberFormat="0" applyBorder="0" applyAlignment="0"/>
    <xf numFmtId="338" fontId="230" fillId="0" borderId="0" applyNumberFormat="0" applyBorder="0" applyAlignment="0"/>
    <xf numFmtId="338" fontId="230" fillId="0" borderId="0" applyNumberFormat="0" applyBorder="0" applyAlignment="0"/>
    <xf numFmtId="338" fontId="230" fillId="0" borderId="0" applyNumberFormat="0" applyBorder="0" applyAlignment="0"/>
    <xf numFmtId="338" fontId="230" fillId="0" borderId="0" applyNumberFormat="0" applyBorder="0" applyAlignment="0"/>
    <xf numFmtId="338" fontId="230" fillId="0" borderId="0" applyNumberFormat="0" applyBorder="0" applyAlignment="0"/>
    <xf numFmtId="338" fontId="79" fillId="0" borderId="0" applyNumberFormat="0" applyBorder="0" applyAlignment="0"/>
    <xf numFmtId="338" fontId="79" fillId="0" borderId="0" applyNumberFormat="0" applyBorder="0" applyAlignment="0"/>
    <xf numFmtId="338" fontId="142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195" fillId="0" borderId="0" applyNumberFormat="0" applyBorder="0" applyAlignment="0"/>
    <xf numFmtId="338" fontId="195" fillId="0" borderId="0" applyNumberFormat="0" applyBorder="0" applyAlignment="0"/>
    <xf numFmtId="338" fontId="143" fillId="0" borderId="0" applyNumberFormat="0" applyBorder="0" applyAlignment="0"/>
    <xf numFmtId="338" fontId="232" fillId="0" borderId="0" applyNumberFormat="0" applyBorder="0" applyAlignment="0"/>
    <xf numFmtId="338" fontId="232" fillId="0" borderId="0" applyNumberFormat="0" applyBorder="0" applyAlignment="0"/>
    <xf numFmtId="338" fontId="232" fillId="0" borderId="0" applyNumberFormat="0" applyBorder="0" applyAlignment="0"/>
    <xf numFmtId="338" fontId="232" fillId="0" borderId="0" applyNumberFormat="0" applyBorder="0" applyAlignment="0"/>
    <xf numFmtId="338" fontId="232" fillId="0" borderId="0" applyNumberFormat="0" applyBorder="0" applyAlignment="0"/>
    <xf numFmtId="338" fontId="233" fillId="0" borderId="0" applyNumberFormat="0" applyBorder="0" applyAlignment="0"/>
    <xf numFmtId="338" fontId="233" fillId="0" borderId="0" applyNumberFormat="0" applyBorder="0" applyAlignment="0"/>
    <xf numFmtId="338" fontId="144" fillId="0" borderId="0" applyNumberFormat="0" applyBorder="0" applyAlignment="0"/>
    <xf numFmtId="338" fontId="79" fillId="0" borderId="0" applyNumberFormat="0" applyBorder="0" applyAlignment="0"/>
    <xf numFmtId="338" fontId="79" fillId="0" borderId="0" applyNumberFormat="0" applyBorder="0" applyAlignment="0"/>
    <xf numFmtId="338" fontId="79" fillId="0" borderId="0" applyNumberFormat="0" applyBorder="0" applyAlignment="0"/>
    <xf numFmtId="338" fontId="79" fillId="0" borderId="0" applyNumberFormat="0" applyBorder="0" applyAlignment="0"/>
    <xf numFmtId="338" fontId="79" fillId="0" borderId="0" applyNumberFormat="0" applyBorder="0" applyAlignment="0"/>
    <xf numFmtId="338" fontId="231" fillId="0" borderId="0" applyNumberFormat="0" applyBorder="0" applyAlignment="0"/>
    <xf numFmtId="338" fontId="79" fillId="0" borderId="0" applyNumberFormat="0" applyBorder="0" applyAlignment="0"/>
    <xf numFmtId="338" fontId="145" fillId="0" borderId="0" applyNumberFormat="0" applyBorder="0" applyAlignment="0"/>
    <xf numFmtId="338" fontId="176" fillId="0" borderId="0" applyNumberFormat="0" applyBorder="0" applyAlignment="0"/>
    <xf numFmtId="338" fontId="176" fillId="0" borderId="0" applyNumberFormat="0" applyBorder="0" applyAlignment="0"/>
    <xf numFmtId="338" fontId="176" fillId="0" borderId="0" applyNumberFormat="0" applyBorder="0" applyAlignment="0"/>
    <xf numFmtId="338" fontId="176" fillId="0" borderId="0" applyNumberFormat="0" applyBorder="0" applyAlignment="0"/>
    <xf numFmtId="338" fontId="176" fillId="0" borderId="0" applyNumberFormat="0" applyBorder="0" applyAlignment="0"/>
    <xf numFmtId="338" fontId="79" fillId="0" borderId="0" applyNumberFormat="0" applyBorder="0" applyAlignment="0"/>
    <xf numFmtId="338" fontId="176" fillId="0" borderId="0" applyNumberFormat="0" applyBorder="0" applyAlignment="0"/>
    <xf numFmtId="338" fontId="145" fillId="0" borderId="0" applyNumberFormat="0" applyBorder="0" applyAlignment="0"/>
    <xf numFmtId="338" fontId="79" fillId="45" borderId="0" applyNumberFormat="0" applyBorder="0" applyAlignment="0"/>
    <xf numFmtId="338" fontId="79" fillId="45" borderId="0" applyNumberFormat="0" applyBorder="0" applyAlignment="0"/>
    <xf numFmtId="338" fontId="79" fillId="45" borderId="0" applyNumberFormat="0" applyBorder="0" applyAlignment="0"/>
    <xf numFmtId="338" fontId="79" fillId="45" borderId="0" applyNumberFormat="0" applyBorder="0" applyAlignment="0"/>
    <xf numFmtId="338" fontId="79" fillId="45" borderId="0" applyNumberFormat="0" applyBorder="0" applyAlignment="0"/>
    <xf numFmtId="338" fontId="176" fillId="0" borderId="0" applyNumberFormat="0" applyBorder="0" applyAlignment="0"/>
    <xf numFmtId="338" fontId="79" fillId="45" borderId="0" applyNumberFormat="0" applyBorder="0" applyAlignment="0"/>
    <xf numFmtId="338" fontId="119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231" fillId="0" borderId="0" applyNumberFormat="0" applyBorder="0" applyAlignment="0"/>
    <xf numFmtId="338" fontId="192" fillId="0" borderId="0"/>
    <xf numFmtId="338" fontId="146" fillId="0" borderId="0"/>
    <xf numFmtId="235" fontId="16" fillId="0" borderId="0" applyFill="0" applyBorder="0" applyAlignment="0" applyProtection="0"/>
    <xf numFmtId="338" fontId="173" fillId="0" borderId="0"/>
    <xf numFmtId="338" fontId="147" fillId="0" borderId="44"/>
    <xf numFmtId="40" fontId="148" fillId="0" borderId="0" applyBorder="0">
      <alignment horizontal="right"/>
    </xf>
    <xf numFmtId="338" fontId="174" fillId="0" borderId="0"/>
    <xf numFmtId="338" fontId="178" fillId="0" borderId="0"/>
    <xf numFmtId="338" fontId="178" fillId="0" borderId="0"/>
    <xf numFmtId="338" fontId="84" fillId="0" borderId="0" applyNumberFormat="0" applyFont="0" applyBorder="0" applyAlignment="0">
      <alignment horizontal="left"/>
    </xf>
    <xf numFmtId="338" fontId="149" fillId="0" borderId="0" applyBorder="0" applyProtection="0">
      <alignment vertical="center"/>
    </xf>
    <xf numFmtId="253" fontId="149" fillId="0" borderId="13" applyBorder="0" applyProtection="0">
      <alignment horizontal="right" vertical="center"/>
    </xf>
    <xf numFmtId="338" fontId="150" fillId="55" borderId="0" applyBorder="0" applyProtection="0">
      <alignment horizontal="centerContinuous" vertical="center"/>
    </xf>
    <xf numFmtId="338" fontId="150" fillId="4" borderId="13" applyBorder="0" applyProtection="0">
      <alignment horizontal="centerContinuous" vertical="center"/>
    </xf>
    <xf numFmtId="338" fontId="151" fillId="0" borderId="0"/>
    <xf numFmtId="338" fontId="109" fillId="0" borderId="0"/>
    <xf numFmtId="338" fontId="152" fillId="0" borderId="0" applyFill="0" applyBorder="0" applyProtection="0">
      <alignment horizontal="left"/>
    </xf>
    <xf numFmtId="338" fontId="153" fillId="0" borderId="22" applyFill="0" applyBorder="0" applyProtection="0">
      <alignment horizontal="left" vertical="top"/>
    </xf>
    <xf numFmtId="338" fontId="12" fillId="0" borderId="45" applyAlignment="0"/>
    <xf numFmtId="235" fontId="12" fillId="56" borderId="0" applyNumberFormat="0" applyFont="0" applyBorder="0" applyAlignment="0" applyProtection="0"/>
    <xf numFmtId="338" fontId="154" fillId="28" borderId="0" applyBorder="0">
      <alignment horizontal="left" vertical="center" indent="1"/>
    </xf>
    <xf numFmtId="338" fontId="155" fillId="0" borderId="0"/>
    <xf numFmtId="338" fontId="156" fillId="0" borderId="0"/>
    <xf numFmtId="49" fontId="79" fillId="0" borderId="0" applyFill="0" applyBorder="0" applyAlignment="0"/>
    <xf numFmtId="309" fontId="12" fillId="0" borderId="0" applyFill="0" applyBorder="0" applyAlignment="0"/>
    <xf numFmtId="310" fontId="12" fillId="0" borderId="0" applyFill="0" applyBorder="0" applyAlignment="0"/>
    <xf numFmtId="338" fontId="136" fillId="0" borderId="0">
      <alignment vertical="top"/>
    </xf>
    <xf numFmtId="311" fontId="12" fillId="0" borderId="0" applyFont="0" applyFill="0" applyBorder="0" applyAlignment="0" applyProtection="0">
      <alignment horizontal="center"/>
    </xf>
    <xf numFmtId="312" fontId="12" fillId="0" borderId="0" applyFont="0" applyFill="0" applyBorder="0" applyAlignment="0" applyProtection="0">
      <alignment horizontal="center"/>
    </xf>
    <xf numFmtId="338" fontId="138" fillId="0" borderId="0"/>
    <xf numFmtId="338" fontId="137" fillId="0" borderId="0">
      <alignment vertical="top"/>
    </xf>
    <xf numFmtId="313" fontId="12" fillId="0" borderId="0" applyFont="0" applyFill="0" applyBorder="0" applyAlignment="0" applyProtection="0">
      <alignment horizontal="center"/>
    </xf>
    <xf numFmtId="314" fontId="12" fillId="0" borderId="0" applyFont="0" applyFill="0" applyBorder="0" applyAlignment="0" applyProtection="0">
      <alignment horizontal="center"/>
    </xf>
    <xf numFmtId="235" fontId="157" fillId="0" borderId="0" applyFill="0" applyBorder="0" applyAlignment="0" applyProtection="0">
      <alignment horizontal="right"/>
    </xf>
    <xf numFmtId="39" fontId="19" fillId="34" borderId="15" applyFont="0" applyFill="0" applyBorder="0" applyAlignment="0" applyProtection="0">
      <alignment horizontal="center"/>
      <protection locked="0"/>
    </xf>
    <xf numFmtId="338" fontId="131" fillId="0" borderId="0" applyFill="0" applyBorder="0" applyProtection="0">
      <alignment horizontal="left" vertical="top"/>
    </xf>
    <xf numFmtId="338" fontId="158" fillId="57" borderId="0" applyBorder="0">
      <alignment horizontal="left" vertical="center" indent="1"/>
    </xf>
    <xf numFmtId="338" fontId="159" fillId="0" borderId="0"/>
    <xf numFmtId="235" fontId="122" fillId="0" borderId="0" applyNumberFormat="0" applyFill="0" applyBorder="0" applyAlignment="0" applyProtection="0"/>
    <xf numFmtId="338" fontId="134" fillId="0" borderId="0">
      <alignment vertical="top"/>
    </xf>
    <xf numFmtId="235" fontId="44" fillId="0" borderId="0" applyFont="0" applyFill="0" applyBorder="0">
      <alignment horizontal="left"/>
    </xf>
    <xf numFmtId="229" fontId="12" fillId="0" borderId="46">
      <protection locked="0"/>
    </xf>
    <xf numFmtId="6" fontId="160" fillId="0" borderId="46" applyFill="0" applyAlignment="0" applyProtection="0"/>
    <xf numFmtId="182" fontId="12" fillId="0" borderId="0" applyFont="0" applyFill="0" applyBorder="0" applyAlignment="0" applyProtection="0"/>
    <xf numFmtId="240" fontId="161" fillId="0" borderId="0">
      <alignment horizontal="left"/>
      <protection locked="0"/>
    </xf>
    <xf numFmtId="338" fontId="12" fillId="58" borderId="0"/>
    <xf numFmtId="338" fontId="162" fillId="58" borderId="0" applyFill="0"/>
    <xf numFmtId="3" fontId="78" fillId="0" borderId="13" applyNumberFormat="0" applyFont="0" applyFill="0" applyAlignment="0" applyProtection="0">
      <alignment horizontal="right"/>
      <protection locked="0"/>
    </xf>
    <xf numFmtId="38" fontId="163" fillId="0" borderId="0" applyNumberFormat="0" applyBorder="0" applyAlignment="0">
      <protection locked="0"/>
    </xf>
    <xf numFmtId="338" fontId="164" fillId="0" borderId="0"/>
    <xf numFmtId="38" fontId="16" fillId="0" borderId="0" applyFill="0" applyBorder="0" applyAlignment="0" applyProtection="0">
      <alignment horizontal="left"/>
    </xf>
    <xf numFmtId="181" fontId="12" fillId="0" borderId="0" applyFont="0" applyFill="0" applyBorder="0" applyAlignment="0" applyProtection="0"/>
    <xf numFmtId="269" fontId="12" fillId="0" borderId="0" applyFont="0" applyFill="0" applyBorder="0" applyAlignment="0" applyProtection="0"/>
    <xf numFmtId="270" fontId="12" fillId="0" borderId="0" applyFont="0" applyFill="0" applyBorder="0" applyAlignment="0" applyProtection="0"/>
    <xf numFmtId="338" fontId="165" fillId="0" borderId="0"/>
    <xf numFmtId="338" fontId="19" fillId="0" borderId="0" applyFont="0" applyFill="0" applyBorder="0" applyAlignment="0" applyProtection="0"/>
    <xf numFmtId="338" fontId="19" fillId="0" borderId="0" applyFont="0" applyFill="0" applyBorder="0" applyAlignment="0" applyProtection="0"/>
    <xf numFmtId="181" fontId="12" fillId="0" borderId="0" applyFont="0" applyFill="0" applyBorder="0" applyAlignment="0" applyProtection="0"/>
    <xf numFmtId="183" fontId="12" fillId="0" borderId="0" applyFont="0" applyFill="0" applyBorder="0" applyAlignment="0" applyProtection="0"/>
    <xf numFmtId="338" fontId="234" fillId="0" borderId="0" applyNumberFormat="0" applyFill="0" applyBorder="0" applyAlignment="0" applyProtection="0"/>
    <xf numFmtId="235" fontId="76" fillId="0" borderId="0" applyNumberFormat="0" applyFill="0" applyBorder="0" applyAlignment="0" applyProtection="0"/>
    <xf numFmtId="315" fontId="72" fillId="0" borderId="0"/>
    <xf numFmtId="338" fontId="72" fillId="5" borderId="0">
      <alignment horizontal="center"/>
    </xf>
    <xf numFmtId="38" fontId="14" fillId="0" borderId="0" applyNumberFormat="0" applyFont="0" applyFill="0" applyBorder="0" applyProtection="0">
      <alignment horizontal="center" vertical="center" wrapText="1"/>
    </xf>
    <xf numFmtId="40" fontId="77" fillId="0" borderId="0">
      <alignment horizontal="left" wrapText="1"/>
    </xf>
    <xf numFmtId="234" fontId="14" fillId="0" borderId="0"/>
    <xf numFmtId="338" fontId="12" fillId="59" borderId="0" applyNumberFormat="0" applyFont="0" applyBorder="0" applyAlignment="0" applyProtection="0"/>
    <xf numFmtId="338" fontId="12" fillId="14" borderId="0" applyNumberFormat="0" applyFont="0" applyBorder="0" applyAlignment="0" applyProtection="0"/>
    <xf numFmtId="338" fontId="12" fillId="19" borderId="0" applyNumberFormat="0" applyFont="0" applyBorder="0" applyAlignment="0" applyProtection="0"/>
    <xf numFmtId="338" fontId="12" fillId="21" borderId="0" applyNumberFormat="0" applyFont="0" applyBorder="0" applyAlignment="0" applyProtection="0"/>
    <xf numFmtId="338" fontId="12" fillId="60" borderId="0" applyNumberFormat="0" applyFont="0" applyBorder="0" applyAlignment="0" applyProtection="0"/>
    <xf numFmtId="316" fontId="74" fillId="0" borderId="0" applyFont="0" applyFill="0" applyBorder="0" applyAlignment="0" applyProtection="0">
      <alignment horizontal="right"/>
    </xf>
    <xf numFmtId="1" fontId="44" fillId="0" borderId="0" applyFont="0" applyFill="0" applyBorder="0" applyProtection="0">
      <alignment horizontal="center"/>
    </xf>
    <xf numFmtId="324" fontId="181" fillId="37" borderId="47"/>
    <xf numFmtId="324" fontId="181" fillId="34" borderId="48"/>
    <xf numFmtId="325" fontId="178" fillId="0" borderId="0">
      <protection locked="0"/>
    </xf>
    <xf numFmtId="338" fontId="199" fillId="0" borderId="0">
      <protection locked="0"/>
    </xf>
    <xf numFmtId="338" fontId="199" fillId="0" borderId="0">
      <protection locked="0"/>
    </xf>
    <xf numFmtId="338" fontId="178" fillId="0" borderId="0"/>
    <xf numFmtId="338" fontId="19" fillId="0" borderId="15">
      <alignment horizontal="right" vertical="center" shrinkToFit="1"/>
    </xf>
    <xf numFmtId="338" fontId="200" fillId="0" borderId="15" applyNumberFormat="0" applyBorder="0">
      <alignment vertical="center"/>
    </xf>
    <xf numFmtId="338" fontId="177" fillId="0" borderId="0">
      <protection locked="0"/>
    </xf>
    <xf numFmtId="338" fontId="177" fillId="0" borderId="0">
      <protection locked="0"/>
    </xf>
    <xf numFmtId="338" fontId="191" fillId="0" borderId="0" applyNumberFormat="0" applyFill="0" applyBorder="0" applyAlignment="0" applyProtection="0">
      <alignment vertical="top"/>
      <protection locked="0"/>
    </xf>
    <xf numFmtId="338" fontId="19" fillId="0" borderId="0" applyFont="0" applyFill="0" applyBorder="0" applyAlignment="0" applyProtection="0"/>
    <xf numFmtId="338" fontId="19" fillId="0" borderId="0" applyFont="0" applyFill="0" applyBorder="0" applyAlignment="0" applyProtection="0"/>
    <xf numFmtId="40" fontId="201" fillId="0" borderId="0" applyFont="0" applyFill="0" applyBorder="0" applyAlignment="0" applyProtection="0"/>
    <xf numFmtId="38" fontId="201" fillId="0" borderId="0" applyFont="0" applyFill="0" applyBorder="0" applyAlignment="0" applyProtection="0"/>
    <xf numFmtId="338" fontId="19" fillId="0" borderId="0" applyFont="0" applyFill="0" applyBorder="0" applyAlignment="0" applyProtection="0"/>
    <xf numFmtId="338" fontId="19" fillId="0" borderId="0" applyFont="0" applyFill="0" applyBorder="0" applyAlignment="0" applyProtection="0"/>
    <xf numFmtId="338" fontId="185" fillId="0" borderId="0" applyFont="0" applyFill="0" applyBorder="0" applyAlignment="0" applyProtection="0"/>
    <xf numFmtId="326" fontId="185" fillId="0" borderId="0" applyFont="0" applyFill="0" applyBorder="0" applyAlignment="0" applyProtection="0"/>
    <xf numFmtId="338" fontId="178" fillId="0" borderId="0"/>
    <xf numFmtId="323" fontId="177" fillId="0" borderId="0">
      <protection locked="0"/>
    </xf>
    <xf numFmtId="327" fontId="202" fillId="0" borderId="15" applyFont="0" applyBorder="0" applyAlignment="0">
      <alignment horizontal="center" vertical="center"/>
    </xf>
    <xf numFmtId="338" fontId="203" fillId="0" borderId="0"/>
    <xf numFmtId="338" fontId="183" fillId="0" borderId="15">
      <alignment horizontal="distributed" vertical="distributed"/>
    </xf>
    <xf numFmtId="338" fontId="181" fillId="0" borderId="0" applyFont="0" applyFill="0" applyBorder="0" applyAlignment="0" applyProtection="0"/>
    <xf numFmtId="338" fontId="181" fillId="0" borderId="0" applyFont="0" applyFill="0" applyBorder="0" applyAlignment="0" applyProtection="0"/>
    <xf numFmtId="328" fontId="204" fillId="0" borderId="0">
      <alignment vertical="center"/>
    </xf>
    <xf numFmtId="338" fontId="205" fillId="0" borderId="49"/>
    <xf numFmtId="338" fontId="178" fillId="0" borderId="0" applyFont="0" applyFill="0" applyBorder="0" applyAlignment="0" applyProtection="0"/>
    <xf numFmtId="338" fontId="206" fillId="0" borderId="0">
      <alignment vertical="center"/>
    </xf>
    <xf numFmtId="4" fontId="207" fillId="0" borderId="0" applyFont="0" applyFill="0" applyBorder="0" applyAlignment="0" applyProtection="0"/>
    <xf numFmtId="3" fontId="207" fillId="0" borderId="0" applyFont="0" applyFill="0" applyBorder="0" applyAlignment="0" applyProtection="0"/>
    <xf numFmtId="324" fontId="181" fillId="34" borderId="0"/>
    <xf numFmtId="329" fontId="19" fillId="0" borderId="0" applyFill="0" applyBorder="0" applyProtection="0">
      <alignment vertical="center"/>
    </xf>
    <xf numFmtId="338" fontId="180" fillId="0" borderId="0"/>
    <xf numFmtId="338" fontId="19" fillId="0" borderId="0"/>
    <xf numFmtId="338" fontId="178" fillId="0" borderId="0"/>
    <xf numFmtId="338" fontId="180" fillId="0" borderId="0" applyFont="0" applyFill="0" applyBorder="0" applyAlignment="0" applyProtection="0"/>
    <xf numFmtId="43" fontId="18" fillId="0" borderId="0" applyProtection="0"/>
    <xf numFmtId="323" fontId="208" fillId="0" borderId="0">
      <protection locked="0"/>
    </xf>
    <xf numFmtId="338" fontId="178" fillId="0" borderId="0" applyFont="0" applyFill="0" applyBorder="0" applyAlignment="0" applyProtection="0"/>
    <xf numFmtId="323" fontId="208" fillId="0" borderId="0">
      <protection locked="0"/>
    </xf>
    <xf numFmtId="338" fontId="178" fillId="0" borderId="0" applyFont="0" applyFill="0" applyBorder="0" applyAlignment="0" applyProtection="0"/>
    <xf numFmtId="338" fontId="178" fillId="0" borderId="50">
      <alignment vertical="center"/>
    </xf>
    <xf numFmtId="338" fontId="178" fillId="0" borderId="0" applyFont="0" applyFill="0" applyBorder="0" applyAlignment="0" applyProtection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38" fontId="209" fillId="0" borderId="0"/>
    <xf numFmtId="323" fontId="208" fillId="0" borderId="0">
      <protection locked="0"/>
    </xf>
    <xf numFmtId="323" fontId="208" fillId="0" borderId="0">
      <protection locked="0"/>
    </xf>
    <xf numFmtId="9" fontId="207" fillId="0" borderId="0" applyFont="0" applyFill="0" applyBorder="0" applyAlignment="0" applyProtection="0"/>
    <xf numFmtId="323" fontId="208" fillId="0" borderId="0">
      <protection locked="0"/>
    </xf>
    <xf numFmtId="330" fontId="210" fillId="0" borderId="0" applyFill="0" applyBorder="0" applyProtection="0">
      <alignment vertical="center"/>
    </xf>
    <xf numFmtId="331" fontId="210" fillId="0" borderId="0" applyFill="0" applyBorder="0" applyProtection="0">
      <alignment vertical="center"/>
      <protection locked="0"/>
    </xf>
    <xf numFmtId="338" fontId="181" fillId="0" borderId="0">
      <alignment vertical="center"/>
    </xf>
    <xf numFmtId="338" fontId="181" fillId="54" borderId="27" applyNumberFormat="0"/>
    <xf numFmtId="338" fontId="177" fillId="0" borderId="51">
      <protection locked="0"/>
    </xf>
    <xf numFmtId="332" fontId="207" fillId="0" borderId="0" applyFont="0" applyFill="0" applyBorder="0" applyAlignment="0" applyProtection="0"/>
    <xf numFmtId="332" fontId="207" fillId="0" borderId="0" applyFont="0" applyFill="0" applyBorder="0" applyAlignment="0" applyProtection="0"/>
    <xf numFmtId="338" fontId="166" fillId="0" borderId="0"/>
    <xf numFmtId="40" fontId="167" fillId="0" borderId="0" applyFont="0" applyFill="0" applyBorder="0" applyAlignment="0" applyProtection="0"/>
    <xf numFmtId="38" fontId="167" fillId="0" borderId="0" applyFont="0" applyFill="0" applyBorder="0" applyAlignment="0" applyProtection="0"/>
    <xf numFmtId="338" fontId="167" fillId="0" borderId="0"/>
    <xf numFmtId="338" fontId="180" fillId="0" borderId="0" applyFont="0" applyFill="0" applyBorder="0" applyAlignment="0" applyProtection="0"/>
    <xf numFmtId="338" fontId="180" fillId="0" borderId="0" applyFont="0" applyFill="0" applyBorder="0" applyAlignment="0" applyProtection="0"/>
    <xf numFmtId="317" fontId="167" fillId="0" borderId="0" applyFont="0" applyFill="0" applyBorder="0" applyAlignment="0" applyProtection="0"/>
    <xf numFmtId="318" fontId="167" fillId="0" borderId="0" applyFont="0" applyFill="0" applyBorder="0" applyAlignment="0" applyProtection="0"/>
    <xf numFmtId="338" fontId="168" fillId="0" borderId="0" applyNumberFormat="0" applyFill="0" applyBorder="0" applyAlignment="0" applyProtection="0"/>
    <xf numFmtId="10" fontId="19" fillId="0" borderId="0" applyFont="0" applyFill="0" applyProtection="0"/>
    <xf numFmtId="0" fontId="19" fillId="0" borderId="0"/>
    <xf numFmtId="0" fontId="235" fillId="33" borderId="0" applyAlignment="0"/>
    <xf numFmtId="0" fontId="164" fillId="0" borderId="0" applyAlignment="0"/>
    <xf numFmtId="44" fontId="10" fillId="0" borderId="0" applyFont="0" applyFill="0" applyBorder="0" applyAlignment="0" applyProtection="0"/>
    <xf numFmtId="343" fontId="219" fillId="0" borderId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7" fillId="0" borderId="0" applyFont="0" applyFill="0" applyBorder="0" applyAlignment="0" applyProtection="0"/>
    <xf numFmtId="43" fontId="237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7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19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38" fontId="91" fillId="0" borderId="25">
      <alignment horizontal="left" vertical="center"/>
    </xf>
    <xf numFmtId="343" fontId="91" fillId="0" borderId="25">
      <alignment horizontal="left" vertical="center"/>
    </xf>
    <xf numFmtId="343" fontId="91" fillId="0" borderId="25">
      <alignment horizontal="left" vertical="center"/>
    </xf>
    <xf numFmtId="343" fontId="91" fillId="0" borderId="25">
      <alignment horizontal="left" vertical="center"/>
    </xf>
    <xf numFmtId="343" fontId="91" fillId="0" borderId="25">
      <alignment horizontal="left" vertical="center"/>
    </xf>
    <xf numFmtId="343" fontId="91" fillId="0" borderId="25">
      <alignment horizontal="left" vertical="center"/>
    </xf>
    <xf numFmtId="0" fontId="91" fillId="0" borderId="25">
      <alignment horizontal="left" vertical="center"/>
    </xf>
    <xf numFmtId="0" fontId="91" fillId="0" borderId="25">
      <alignment horizontal="left" vertical="center"/>
    </xf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341" fontId="219" fillId="0" borderId="0"/>
    <xf numFmtId="341" fontId="219" fillId="0" borderId="0"/>
    <xf numFmtId="341" fontId="219" fillId="0" borderId="0"/>
    <xf numFmtId="341" fontId="219" fillId="0" borderId="0"/>
    <xf numFmtId="341" fontId="219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341" fontId="219" fillId="0" borderId="0"/>
    <xf numFmtId="341" fontId="219" fillId="0" borderId="0"/>
    <xf numFmtId="341" fontId="219" fillId="0" borderId="0"/>
    <xf numFmtId="341" fontId="219" fillId="0" borderId="0"/>
    <xf numFmtId="341" fontId="219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339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344" fontId="219" fillId="0" borderId="0"/>
    <xf numFmtId="0" fontId="237" fillId="0" borderId="0"/>
    <xf numFmtId="341" fontId="219" fillId="0" borderId="0"/>
    <xf numFmtId="341" fontId="219" fillId="0" borderId="0"/>
    <xf numFmtId="341" fontId="219" fillId="0" borderId="0"/>
    <xf numFmtId="341" fontId="219" fillId="0" borderId="0"/>
    <xf numFmtId="341" fontId="219" fillId="0" borderId="0"/>
    <xf numFmtId="338" fontId="236" fillId="0" borderId="0"/>
    <xf numFmtId="338" fontId="236" fillId="0" borderId="0"/>
    <xf numFmtId="338" fontId="236" fillId="0" borderId="0"/>
    <xf numFmtId="338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19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236" fillId="0" borderId="0"/>
    <xf numFmtId="0" fontId="12" fillId="0" borderId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7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9" fontId="236" fillId="0" borderId="0" applyFont="0" applyFill="0" applyBorder="0" applyAlignment="0" applyProtection="0"/>
    <xf numFmtId="0" fontId="238" fillId="0" borderId="0"/>
    <xf numFmtId="0" fontId="12" fillId="0" borderId="0"/>
    <xf numFmtId="43" fontId="12" fillId="0" borderId="0" applyFont="0" applyFill="0" applyBorder="0" applyAlignment="0" applyProtection="0"/>
    <xf numFmtId="240" fontId="16" fillId="0" borderId="0"/>
    <xf numFmtId="40" fontId="20" fillId="0" borderId="0" applyFont="0" applyFill="0" applyBorder="0" applyAlignment="0" applyProtection="0"/>
    <xf numFmtId="0" fontId="12" fillId="0" borderId="0"/>
    <xf numFmtId="8" fontId="240" fillId="0" borderId="0" applyFont="0" applyFill="0" applyBorder="0" applyAlignment="0" applyProtection="0"/>
    <xf numFmtId="345" fontId="117" fillId="0" borderId="0"/>
    <xf numFmtId="345" fontId="117" fillId="0" borderId="0"/>
    <xf numFmtId="5" fontId="240" fillId="0" borderId="0" applyFont="0" applyFill="0" applyBorder="0" applyAlignment="0" applyProtection="0"/>
    <xf numFmtId="5" fontId="240" fillId="0" borderId="0" applyFont="0" applyFill="0" applyBorder="0" applyAlignment="0" applyProtection="0"/>
    <xf numFmtId="345" fontId="117" fillId="0" borderId="0"/>
    <xf numFmtId="345" fontId="117" fillId="0" borderId="0"/>
    <xf numFmtId="5" fontId="12" fillId="0" borderId="0" applyFont="0" applyFill="0" applyBorder="0" applyAlignment="0" applyProtection="0"/>
    <xf numFmtId="5" fontId="12" fillId="0" borderId="0" applyFont="0" applyFill="0" applyBorder="0" applyAlignment="0" applyProtection="0"/>
    <xf numFmtId="345" fontId="117" fillId="0" borderId="0"/>
    <xf numFmtId="7" fontId="241" fillId="0" borderId="0">
      <alignment horizontal="center"/>
    </xf>
    <xf numFmtId="9" fontId="240" fillId="0" borderId="0" applyFont="0" applyFill="0" applyBorder="0" applyAlignment="0" applyProtection="0"/>
    <xf numFmtId="10" fontId="240" fillId="0" borderId="0" applyFont="0" applyFill="0" applyBorder="0" applyAlignment="0" applyProtection="0"/>
    <xf numFmtId="235" fontId="117" fillId="0" borderId="0" applyBorder="0" applyAlignment="0"/>
    <xf numFmtId="37" fontId="12" fillId="0" borderId="0" applyFont="0" applyFill="0" applyBorder="0" applyAlignment="0" applyProtection="0"/>
    <xf numFmtId="0" fontId="23" fillId="0" borderId="0" applyFont="0" applyAlignment="0">
      <alignment horizontal="center" vertical="center"/>
    </xf>
    <xf numFmtId="346" fontId="239" fillId="0" borderId="0"/>
    <xf numFmtId="236" fontId="117" fillId="0" borderId="0"/>
    <xf numFmtId="236" fontId="117" fillId="0" borderId="0"/>
    <xf numFmtId="236" fontId="117" fillId="0" borderId="0"/>
    <xf numFmtId="236" fontId="117" fillId="0" borderId="0"/>
    <xf numFmtId="347" fontId="117" fillId="0" borderId="0"/>
    <xf numFmtId="347" fontId="117" fillId="0" borderId="0"/>
    <xf numFmtId="236" fontId="117" fillId="0" borderId="0"/>
    <xf numFmtId="236" fontId="117" fillId="0" borderId="0"/>
    <xf numFmtId="348" fontId="117" fillId="0" borderId="0" applyFont="0" applyFill="0" applyBorder="0" applyAlignment="0" applyProtection="0"/>
    <xf numFmtId="348" fontId="117" fillId="0" borderId="0" applyFont="0" applyFill="0" applyBorder="0" applyAlignment="0" applyProtection="0"/>
    <xf numFmtId="348" fontId="117" fillId="0" borderId="0" applyFont="0" applyFill="0" applyBorder="0" applyAlignment="0" applyProtection="0"/>
    <xf numFmtId="348" fontId="117" fillId="0" borderId="0" applyFont="0" applyFill="0" applyBorder="0" applyAlignment="0" applyProtection="0"/>
    <xf numFmtId="349" fontId="117" fillId="0" borderId="0" applyFont="0" applyFill="0" applyBorder="0" applyAlignment="0" applyProtection="0"/>
    <xf numFmtId="349" fontId="117" fillId="0" borderId="0" applyFont="0" applyFill="0" applyBorder="0" applyAlignment="0" applyProtection="0"/>
    <xf numFmtId="348" fontId="117" fillId="0" borderId="0" applyFont="0" applyFill="0" applyBorder="0" applyAlignment="0" applyProtection="0"/>
    <xf numFmtId="348" fontId="117" fillId="0" borderId="0" applyFont="0" applyFill="0" applyBorder="0" applyAlignment="0" applyProtection="0"/>
    <xf numFmtId="342" fontId="117" fillId="0" borderId="0" applyFont="0" applyFill="0" applyBorder="0" applyAlignment="0" applyProtection="0"/>
    <xf numFmtId="342" fontId="117" fillId="0" borderId="0" applyFont="0" applyFill="0" applyBorder="0" applyAlignment="0" applyProtection="0"/>
    <xf numFmtId="342" fontId="117" fillId="0" borderId="0" applyFont="0" applyFill="0" applyBorder="0" applyAlignment="0" applyProtection="0"/>
    <xf numFmtId="342" fontId="117" fillId="0" borderId="0" applyFont="0" applyFill="0" applyBorder="0" applyAlignment="0" applyProtection="0"/>
    <xf numFmtId="0" fontId="242" fillId="0" borderId="0"/>
    <xf numFmtId="43" fontId="242" fillId="0" borderId="0" applyFont="0" applyFill="0" applyBorder="0" applyAlignment="0" applyProtection="0"/>
    <xf numFmtId="0" fontId="243" fillId="0" borderId="0"/>
    <xf numFmtId="350" fontId="244" fillId="0" borderId="0">
      <alignment horizontal="left"/>
    </xf>
    <xf numFmtId="351" fontId="245" fillId="0" borderId="0">
      <alignment horizontal="left"/>
    </xf>
    <xf numFmtId="49" fontId="246" fillId="0" borderId="56" applyFill="0" applyBorder="0">
      <alignment horizontal="center"/>
    </xf>
    <xf numFmtId="9" fontId="247" fillId="0" borderId="0" applyFont="0" applyFill="0" applyBorder="0" applyAlignment="0" applyProtection="0"/>
    <xf numFmtId="343" fontId="236" fillId="62" borderId="0" applyNumberFormat="0" applyBorder="0" applyAlignment="0" applyProtection="0"/>
    <xf numFmtId="343" fontId="236" fillId="62" borderId="0" applyNumberFormat="0" applyBorder="0" applyAlignment="0" applyProtection="0"/>
    <xf numFmtId="343" fontId="236" fillId="62" borderId="0" applyNumberFormat="0" applyBorder="0" applyAlignment="0" applyProtection="0"/>
    <xf numFmtId="343" fontId="236" fillId="62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14" fillId="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343" fontId="236" fillId="62" borderId="0" applyNumberFormat="0" applyBorder="0" applyAlignment="0" applyProtection="0"/>
    <xf numFmtId="343" fontId="236" fillId="62" borderId="0" applyNumberFormat="0" applyBorder="0" applyAlignment="0" applyProtection="0"/>
    <xf numFmtId="343" fontId="236" fillId="62" borderId="0" applyNumberFormat="0" applyBorder="0" applyAlignment="0" applyProtection="0"/>
    <xf numFmtId="343" fontId="236" fillId="63" borderId="0" applyNumberFormat="0" applyBorder="0" applyAlignment="0" applyProtection="0"/>
    <xf numFmtId="343" fontId="236" fillId="63" borderId="0" applyNumberFormat="0" applyBorder="0" applyAlignment="0" applyProtection="0"/>
    <xf numFmtId="343" fontId="236" fillId="63" borderId="0" applyNumberFormat="0" applyBorder="0" applyAlignment="0" applyProtection="0"/>
    <xf numFmtId="343" fontId="236" fillId="63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14" fillId="7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343" fontId="236" fillId="63" borderId="0" applyNumberFormat="0" applyBorder="0" applyAlignment="0" applyProtection="0"/>
    <xf numFmtId="343" fontId="236" fillId="63" borderId="0" applyNumberFormat="0" applyBorder="0" applyAlignment="0" applyProtection="0"/>
    <xf numFmtId="343" fontId="236" fillId="63" borderId="0" applyNumberFormat="0" applyBorder="0" applyAlignment="0" applyProtection="0"/>
    <xf numFmtId="343" fontId="236" fillId="64" borderId="0" applyNumberFormat="0" applyBorder="0" applyAlignment="0" applyProtection="0"/>
    <xf numFmtId="343" fontId="236" fillId="64" borderId="0" applyNumberFormat="0" applyBorder="0" applyAlignment="0" applyProtection="0"/>
    <xf numFmtId="343" fontId="236" fillId="64" borderId="0" applyNumberFormat="0" applyBorder="0" applyAlignment="0" applyProtection="0"/>
    <xf numFmtId="343" fontId="236" fillId="64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14" fillId="8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0" fontId="248" fillId="41" borderId="0" applyNumberFormat="0" applyBorder="0" applyAlignment="0" applyProtection="0"/>
    <xf numFmtId="343" fontId="236" fillId="64" borderId="0" applyNumberFormat="0" applyBorder="0" applyAlignment="0" applyProtection="0"/>
    <xf numFmtId="343" fontId="236" fillId="64" borderId="0" applyNumberFormat="0" applyBorder="0" applyAlignment="0" applyProtection="0"/>
    <xf numFmtId="343" fontId="236" fillId="64" borderId="0" applyNumberFormat="0" applyBorder="0" applyAlignment="0" applyProtection="0"/>
    <xf numFmtId="343" fontId="236" fillId="65" borderId="0" applyNumberFormat="0" applyBorder="0" applyAlignment="0" applyProtection="0"/>
    <xf numFmtId="343" fontId="236" fillId="65" borderId="0" applyNumberFormat="0" applyBorder="0" applyAlignment="0" applyProtection="0"/>
    <xf numFmtId="343" fontId="236" fillId="65" borderId="0" applyNumberFormat="0" applyBorder="0" applyAlignment="0" applyProtection="0"/>
    <xf numFmtId="343" fontId="236" fillId="65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14" fillId="9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0" fontId="248" fillId="36" borderId="0" applyNumberFormat="0" applyBorder="0" applyAlignment="0" applyProtection="0"/>
    <xf numFmtId="343" fontId="236" fillId="65" borderId="0" applyNumberFormat="0" applyBorder="0" applyAlignment="0" applyProtection="0"/>
    <xf numFmtId="343" fontId="236" fillId="65" borderId="0" applyNumberFormat="0" applyBorder="0" applyAlignment="0" applyProtection="0"/>
    <xf numFmtId="343" fontId="236" fillId="65" borderId="0" applyNumberFormat="0" applyBorder="0" applyAlignment="0" applyProtection="0"/>
    <xf numFmtId="343" fontId="236" fillId="66" borderId="0" applyNumberFormat="0" applyBorder="0" applyAlignment="0" applyProtection="0"/>
    <xf numFmtId="343" fontId="236" fillId="66" borderId="0" applyNumberFormat="0" applyBorder="0" applyAlignment="0" applyProtection="0"/>
    <xf numFmtId="343" fontId="236" fillId="66" borderId="0" applyNumberFormat="0" applyBorder="0" applyAlignment="0" applyProtection="0"/>
    <xf numFmtId="343" fontId="236" fillId="66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14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0" fontId="248" fillId="10" borderId="0" applyNumberFormat="0" applyBorder="0" applyAlignment="0" applyProtection="0"/>
    <xf numFmtId="343" fontId="236" fillId="66" borderId="0" applyNumberFormat="0" applyBorder="0" applyAlignment="0" applyProtection="0"/>
    <xf numFmtId="343" fontId="236" fillId="66" borderId="0" applyNumberFormat="0" applyBorder="0" applyAlignment="0" applyProtection="0"/>
    <xf numFmtId="343" fontId="236" fillId="66" borderId="0" applyNumberFormat="0" applyBorder="0" applyAlignment="0" applyProtection="0"/>
    <xf numFmtId="343" fontId="236" fillId="67" borderId="0" applyNumberFormat="0" applyBorder="0" applyAlignment="0" applyProtection="0"/>
    <xf numFmtId="343" fontId="236" fillId="67" borderId="0" applyNumberFormat="0" applyBorder="0" applyAlignment="0" applyProtection="0"/>
    <xf numFmtId="343" fontId="236" fillId="67" borderId="0" applyNumberFormat="0" applyBorder="0" applyAlignment="0" applyProtection="0"/>
    <xf numFmtId="343" fontId="236" fillId="67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14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343" fontId="236" fillId="67" borderId="0" applyNumberFormat="0" applyBorder="0" applyAlignment="0" applyProtection="0"/>
    <xf numFmtId="343" fontId="236" fillId="67" borderId="0" applyNumberFormat="0" applyBorder="0" applyAlignment="0" applyProtection="0"/>
    <xf numFmtId="343" fontId="236" fillId="67" borderId="0" applyNumberFormat="0" applyBorder="0" applyAlignment="0" applyProtection="0"/>
    <xf numFmtId="343" fontId="236" fillId="68" borderId="0" applyNumberFormat="0" applyBorder="0" applyAlignment="0" applyProtection="0"/>
    <xf numFmtId="343" fontId="236" fillId="68" borderId="0" applyNumberFormat="0" applyBorder="0" applyAlignment="0" applyProtection="0"/>
    <xf numFmtId="343" fontId="236" fillId="68" borderId="0" applyNumberFormat="0" applyBorder="0" applyAlignment="0" applyProtection="0"/>
    <xf numFmtId="343" fontId="236" fillId="68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14" fillId="12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343" fontId="236" fillId="68" borderId="0" applyNumberFormat="0" applyBorder="0" applyAlignment="0" applyProtection="0"/>
    <xf numFmtId="343" fontId="236" fillId="68" borderId="0" applyNumberFormat="0" applyBorder="0" applyAlignment="0" applyProtection="0"/>
    <xf numFmtId="343" fontId="236" fillId="68" borderId="0" applyNumberFormat="0" applyBorder="0" applyAlignment="0" applyProtection="0"/>
    <xf numFmtId="343" fontId="236" fillId="69" borderId="0" applyNumberFormat="0" applyBorder="0" applyAlignment="0" applyProtection="0"/>
    <xf numFmtId="343" fontId="236" fillId="69" borderId="0" applyNumberFormat="0" applyBorder="0" applyAlignment="0" applyProtection="0"/>
    <xf numFmtId="343" fontId="236" fillId="69" borderId="0" applyNumberFormat="0" applyBorder="0" applyAlignment="0" applyProtection="0"/>
    <xf numFmtId="343" fontId="236" fillId="69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14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0" fontId="248" fillId="13" borderId="0" applyNumberFormat="0" applyBorder="0" applyAlignment="0" applyProtection="0"/>
    <xf numFmtId="343" fontId="236" fillId="69" borderId="0" applyNumberFormat="0" applyBorder="0" applyAlignment="0" applyProtection="0"/>
    <xf numFmtId="343" fontId="236" fillId="69" borderId="0" applyNumberFormat="0" applyBorder="0" applyAlignment="0" applyProtection="0"/>
    <xf numFmtId="343" fontId="236" fillId="69" borderId="0" applyNumberFormat="0" applyBorder="0" applyAlignment="0" applyProtection="0"/>
    <xf numFmtId="343" fontId="236" fillId="70" borderId="0" applyNumberFormat="0" applyBorder="0" applyAlignment="0" applyProtection="0"/>
    <xf numFmtId="343" fontId="236" fillId="70" borderId="0" applyNumberFormat="0" applyBorder="0" applyAlignment="0" applyProtection="0"/>
    <xf numFmtId="343" fontId="236" fillId="70" borderId="0" applyNumberFormat="0" applyBorder="0" applyAlignment="0" applyProtection="0"/>
    <xf numFmtId="343" fontId="236" fillId="70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14" fillId="14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0" fontId="248" fillId="3" borderId="0" applyNumberFormat="0" applyBorder="0" applyAlignment="0" applyProtection="0"/>
    <xf numFmtId="343" fontId="236" fillId="70" borderId="0" applyNumberFormat="0" applyBorder="0" applyAlignment="0" applyProtection="0"/>
    <xf numFmtId="343" fontId="236" fillId="70" borderId="0" applyNumberFormat="0" applyBorder="0" applyAlignment="0" applyProtection="0"/>
    <xf numFmtId="343" fontId="236" fillId="70" borderId="0" applyNumberFormat="0" applyBorder="0" applyAlignment="0" applyProtection="0"/>
    <xf numFmtId="343" fontId="236" fillId="71" borderId="0" applyNumberFormat="0" applyBorder="0" applyAlignment="0" applyProtection="0"/>
    <xf numFmtId="343" fontId="236" fillId="71" borderId="0" applyNumberFormat="0" applyBorder="0" applyAlignment="0" applyProtection="0"/>
    <xf numFmtId="343" fontId="236" fillId="71" borderId="0" applyNumberFormat="0" applyBorder="0" applyAlignment="0" applyProtection="0"/>
    <xf numFmtId="343" fontId="236" fillId="71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14" fillId="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0" fontId="248" fillId="29" borderId="0" applyNumberFormat="0" applyBorder="0" applyAlignment="0" applyProtection="0"/>
    <xf numFmtId="343" fontId="236" fillId="71" borderId="0" applyNumberFormat="0" applyBorder="0" applyAlignment="0" applyProtection="0"/>
    <xf numFmtId="343" fontId="236" fillId="71" borderId="0" applyNumberFormat="0" applyBorder="0" applyAlignment="0" applyProtection="0"/>
    <xf numFmtId="343" fontId="236" fillId="71" borderId="0" applyNumberFormat="0" applyBorder="0" applyAlignment="0" applyProtection="0"/>
    <xf numFmtId="343" fontId="236" fillId="72" borderId="0" applyNumberFormat="0" applyBorder="0" applyAlignment="0" applyProtection="0"/>
    <xf numFmtId="343" fontId="236" fillId="72" borderId="0" applyNumberFormat="0" applyBorder="0" applyAlignment="0" applyProtection="0"/>
    <xf numFmtId="343" fontId="236" fillId="72" borderId="0" applyNumberFormat="0" applyBorder="0" applyAlignment="0" applyProtection="0"/>
    <xf numFmtId="343" fontId="236" fillId="7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14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0" fontId="248" fillId="12" borderId="0" applyNumberFormat="0" applyBorder="0" applyAlignment="0" applyProtection="0"/>
    <xf numFmtId="343" fontId="236" fillId="72" borderId="0" applyNumberFormat="0" applyBorder="0" applyAlignment="0" applyProtection="0"/>
    <xf numFmtId="343" fontId="236" fillId="72" borderId="0" applyNumberFormat="0" applyBorder="0" applyAlignment="0" applyProtection="0"/>
    <xf numFmtId="343" fontId="236" fillId="72" borderId="0" applyNumberFormat="0" applyBorder="0" applyAlignment="0" applyProtection="0"/>
    <xf numFmtId="343" fontId="236" fillId="73" borderId="0" applyNumberFormat="0" applyBorder="0" applyAlignment="0" applyProtection="0"/>
    <xf numFmtId="343" fontId="236" fillId="73" borderId="0" applyNumberFormat="0" applyBorder="0" applyAlignment="0" applyProtection="0"/>
    <xf numFmtId="343" fontId="236" fillId="73" borderId="0" applyNumberFormat="0" applyBorder="0" applyAlignment="0" applyProtection="0"/>
    <xf numFmtId="343" fontId="236" fillId="73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14" fillId="15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0" fontId="248" fillId="11" borderId="0" applyNumberFormat="0" applyBorder="0" applyAlignment="0" applyProtection="0"/>
    <xf numFmtId="343" fontId="236" fillId="73" borderId="0" applyNumberFormat="0" applyBorder="0" applyAlignment="0" applyProtection="0"/>
    <xf numFmtId="343" fontId="236" fillId="73" borderId="0" applyNumberFormat="0" applyBorder="0" applyAlignment="0" applyProtection="0"/>
    <xf numFmtId="343" fontId="236" fillId="73" borderId="0" applyNumberFormat="0" applyBorder="0" applyAlignment="0" applyProtection="0"/>
    <xf numFmtId="0" fontId="215" fillId="16" borderId="0" applyNumberFormat="0" applyBorder="0" applyAlignment="0" applyProtection="0"/>
    <xf numFmtId="0" fontId="215" fillId="16" borderId="0" applyNumberFormat="0" applyBorder="0" applyAlignment="0" applyProtection="0"/>
    <xf numFmtId="0" fontId="215" fillId="13" borderId="0" applyNumberFormat="0" applyBorder="0" applyAlignment="0" applyProtection="0"/>
    <xf numFmtId="0" fontId="215" fillId="13" borderId="0" applyNumberFormat="0" applyBorder="0" applyAlignment="0" applyProtection="0"/>
    <xf numFmtId="0" fontId="215" fillId="14" borderId="0" applyNumberFormat="0" applyBorder="0" applyAlignment="0" applyProtection="0"/>
    <xf numFmtId="0" fontId="215" fillId="14" borderId="0" applyNumberFormat="0" applyBorder="0" applyAlignment="0" applyProtection="0"/>
    <xf numFmtId="0" fontId="215" fillId="17" borderId="0" applyNumberFormat="0" applyBorder="0" applyAlignment="0" applyProtection="0"/>
    <xf numFmtId="0" fontId="215" fillId="17" borderId="0" applyNumberFormat="0" applyBorder="0" applyAlignment="0" applyProtection="0"/>
    <xf numFmtId="0" fontId="215" fillId="18" borderId="0" applyNumberFormat="0" applyBorder="0" applyAlignment="0" applyProtection="0"/>
    <xf numFmtId="0" fontId="215" fillId="18" borderId="0" applyNumberFormat="0" applyBorder="0" applyAlignment="0" applyProtection="0"/>
    <xf numFmtId="0" fontId="215" fillId="19" borderId="0" applyNumberFormat="0" applyBorder="0" applyAlignment="0" applyProtection="0"/>
    <xf numFmtId="0" fontId="215" fillId="19" borderId="0" applyNumberFormat="0" applyBorder="0" applyAlignment="0" applyProtection="0"/>
    <xf numFmtId="0" fontId="215" fillId="20" borderId="0" applyNumberFormat="0" applyBorder="0" applyAlignment="0" applyProtection="0"/>
    <xf numFmtId="0" fontId="215" fillId="20" borderId="0" applyNumberFormat="0" applyBorder="0" applyAlignment="0" applyProtection="0"/>
    <xf numFmtId="0" fontId="215" fillId="21" borderId="0" applyNumberFormat="0" applyBorder="0" applyAlignment="0" applyProtection="0"/>
    <xf numFmtId="0" fontId="215" fillId="21" borderId="0" applyNumberFormat="0" applyBorder="0" applyAlignment="0" applyProtection="0"/>
    <xf numFmtId="0" fontId="215" fillId="22" borderId="0" applyNumberFormat="0" applyBorder="0" applyAlignment="0" applyProtection="0"/>
    <xf numFmtId="0" fontId="215" fillId="22" borderId="0" applyNumberFormat="0" applyBorder="0" applyAlignment="0" applyProtection="0"/>
    <xf numFmtId="0" fontId="215" fillId="17" borderId="0" applyNumberFormat="0" applyBorder="0" applyAlignment="0" applyProtection="0"/>
    <xf numFmtId="0" fontId="215" fillId="17" borderId="0" applyNumberFormat="0" applyBorder="0" applyAlignment="0" applyProtection="0"/>
    <xf numFmtId="0" fontId="215" fillId="18" borderId="0" applyNumberFormat="0" applyBorder="0" applyAlignment="0" applyProtection="0"/>
    <xf numFmtId="0" fontId="215" fillId="18" borderId="0" applyNumberFormat="0" applyBorder="0" applyAlignment="0" applyProtection="0"/>
    <xf numFmtId="0" fontId="215" fillId="23" borderId="0" applyNumberFormat="0" applyBorder="0" applyAlignment="0" applyProtection="0"/>
    <xf numFmtId="0" fontId="215" fillId="23" borderId="0" applyNumberFormat="0" applyBorder="0" applyAlignment="0" applyProtection="0"/>
    <xf numFmtId="0" fontId="249" fillId="0" borderId="0" applyNumberFormat="0" applyFont="0" applyFill="0" applyBorder="0" applyProtection="0">
      <alignment horizontal="centerContinuous"/>
    </xf>
    <xf numFmtId="333" fontId="247" fillId="0" borderId="0" applyFont="0" applyFill="0" applyBorder="0" applyAlignment="0" applyProtection="0"/>
    <xf numFmtId="334" fontId="247" fillId="0" borderId="0" applyFont="0" applyFill="0" applyBorder="0" applyAlignment="0" applyProtection="0"/>
    <xf numFmtId="0" fontId="250" fillId="0" borderId="0">
      <alignment vertical="center"/>
    </xf>
    <xf numFmtId="251" fontId="247" fillId="0" borderId="0" applyFont="0" applyFill="0" applyBorder="0" applyAlignment="0" applyProtection="0"/>
    <xf numFmtId="252" fontId="247" fillId="0" borderId="0" applyFont="0" applyFill="0" applyBorder="0" applyAlignment="0" applyProtection="0"/>
    <xf numFmtId="0" fontId="216" fillId="7" borderId="0" applyNumberFormat="0" applyBorder="0" applyAlignment="0" applyProtection="0"/>
    <xf numFmtId="0" fontId="216" fillId="7" borderId="0" applyNumberFormat="0" applyBorder="0" applyAlignment="0" applyProtection="0"/>
    <xf numFmtId="352" fontId="251" fillId="0" borderId="0" applyFont="0" applyFill="0" applyBorder="0" applyAlignment="0" applyProtection="0">
      <alignment horizontal="right"/>
    </xf>
    <xf numFmtId="0" fontId="252" fillId="0" borderId="0" applyNumberFormat="0" applyFill="0" applyBorder="0" applyAlignment="0" applyProtection="0"/>
    <xf numFmtId="0" fontId="253" fillId="74" borderId="57" applyFill="0" applyBorder="0">
      <alignment horizontal="left"/>
    </xf>
    <xf numFmtId="0" fontId="251" fillId="0" borderId="13" applyNumberFormat="0" applyFont="0" applyFill="0" applyAlignment="0" applyProtection="0"/>
    <xf numFmtId="0" fontId="251" fillId="0" borderId="22" applyNumberFormat="0" applyFont="0" applyFill="0" applyAlignment="0" applyProtection="0"/>
    <xf numFmtId="0" fontId="251" fillId="0" borderId="31" applyNumberFormat="0" applyFont="0" applyFill="0" applyAlignment="0" applyProtection="0"/>
    <xf numFmtId="0" fontId="251" fillId="0" borderId="9" applyNumberFormat="0" applyFont="0" applyFill="0" applyAlignment="0" applyProtection="0"/>
    <xf numFmtId="0" fontId="249" fillId="0" borderId="13" applyNumberFormat="0" applyFont="0" applyFill="0" applyAlignment="0" applyProtection="0"/>
    <xf numFmtId="0" fontId="254" fillId="0" borderId="0"/>
    <xf numFmtId="0" fontId="217" fillId="29" borderId="14" applyNumberFormat="0" applyAlignment="0" applyProtection="0"/>
    <xf numFmtId="0" fontId="217" fillId="29" borderId="14" applyNumberFormat="0" applyAlignment="0" applyProtection="0"/>
    <xf numFmtId="0" fontId="249" fillId="0" borderId="0" applyNumberFormat="0" applyFont="0" applyFill="0" applyBorder="0" applyProtection="0">
      <alignment horizontal="center"/>
    </xf>
    <xf numFmtId="0" fontId="12" fillId="0" borderId="0">
      <alignment horizontal="center" wrapText="1"/>
    </xf>
    <xf numFmtId="0" fontId="218" fillId="32" borderId="16" applyNumberFormat="0" applyAlignment="0" applyProtection="0"/>
    <xf numFmtId="0" fontId="218" fillId="32" borderId="16" applyNumberFormat="0" applyAlignment="0" applyProtection="0"/>
    <xf numFmtId="0" fontId="255" fillId="0" borderId="0" applyNumberFormat="0" applyFill="0" applyBorder="0" applyAlignment="0" applyProtection="0"/>
    <xf numFmtId="0" fontId="256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48" fillId="0" borderId="0" applyNumberFormat="0" applyFill="0" applyBorder="0">
      <alignment horizontal="center" vertical="center"/>
    </xf>
    <xf numFmtId="0" fontId="257" fillId="0" borderId="2">
      <alignment horizontal="center"/>
    </xf>
    <xf numFmtId="353" fontId="258" fillId="0" borderId="0" applyFill="0" applyBorder="0">
      <alignment horizontal="right" vertical="center"/>
    </xf>
    <xf numFmtId="354" fontId="12" fillId="0" borderId="0"/>
    <xf numFmtId="354" fontId="12" fillId="0" borderId="0"/>
    <xf numFmtId="354" fontId="12" fillId="0" borderId="0"/>
    <xf numFmtId="354" fontId="12" fillId="0" borderId="0"/>
    <xf numFmtId="354" fontId="12" fillId="0" borderId="0"/>
    <xf numFmtId="354" fontId="12" fillId="0" borderId="0"/>
    <xf numFmtId="354" fontId="12" fillId="0" borderId="0"/>
    <xf numFmtId="354" fontId="12" fillId="0" borderId="0"/>
    <xf numFmtId="41" fontId="243" fillId="0" borderId="0" applyFont="0" applyFill="0" applyBorder="0" applyAlignment="0" applyProtection="0"/>
    <xf numFmtId="41" fontId="243" fillId="0" borderId="0" applyFont="0" applyFill="0" applyBorder="0" applyAlignment="0" applyProtection="0"/>
    <xf numFmtId="41" fontId="243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4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43" fontId="236" fillId="0" borderId="0" applyFont="0" applyFill="0" applyBorder="0" applyAlignment="0" applyProtection="0"/>
    <xf numFmtId="0" fontId="259" fillId="0" borderId="0"/>
    <xf numFmtId="0" fontId="72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3" fontId="12" fillId="0" borderId="0" applyFill="0" applyBorder="0" applyAlignment="0" applyProtection="0"/>
    <xf numFmtId="0" fontId="259" fillId="0" borderId="0"/>
    <xf numFmtId="38" fontId="12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3" fontId="260" fillId="5" borderId="0" applyFill="0"/>
    <xf numFmtId="3" fontId="261" fillId="0" borderId="0" applyFill="0" applyBorder="0">
      <alignment horizontal="right"/>
      <protection locked="0"/>
    </xf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243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214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44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44" fontId="236" fillId="0" borderId="0" applyFont="0" applyFill="0" applyBorder="0" applyAlignment="0" applyProtection="0"/>
    <xf numFmtId="0" fontId="259" fillId="0" borderId="0"/>
    <xf numFmtId="0" fontId="259" fillId="0" borderId="0"/>
    <xf numFmtId="0" fontId="259" fillId="0" borderId="0"/>
    <xf numFmtId="0" fontId="259" fillId="0" borderId="0"/>
    <xf numFmtId="0" fontId="259" fillId="0" borderId="0"/>
    <xf numFmtId="0" fontId="262" fillId="0" borderId="0">
      <alignment horizontal="centerContinuous" vertical="center"/>
    </xf>
    <xf numFmtId="9" fontId="12" fillId="0" borderId="0" applyFont="0" applyFill="0" applyBorder="0" applyAlignment="0" applyProtection="0"/>
    <xf numFmtId="0" fontId="10" fillId="0" borderId="0"/>
    <xf numFmtId="0" fontId="72" fillId="0" borderId="0"/>
    <xf numFmtId="0" fontId="72" fillId="0" borderId="27"/>
    <xf numFmtId="9" fontId="78" fillId="0" borderId="0">
      <alignment horizontal="right"/>
    </xf>
    <xf numFmtId="0" fontId="12" fillId="0" borderId="0"/>
    <xf numFmtId="5" fontId="263" fillId="0" borderId="0" applyFont="0" applyFill="0" applyBorder="0" applyAlignment="0" applyProtection="0"/>
    <xf numFmtId="280" fontId="12" fillId="0" borderId="0" applyFont="0" applyFill="0" applyBorder="0" applyAlignment="0" applyProtection="0">
      <protection locked="0"/>
    </xf>
    <xf numFmtId="287" fontId="12" fillId="0" borderId="0" applyFont="0" applyFill="0" applyBorder="0" applyAlignment="0" applyProtection="0"/>
    <xf numFmtId="9" fontId="18" fillId="0" borderId="0"/>
    <xf numFmtId="9" fontId="83" fillId="0" borderId="0"/>
    <xf numFmtId="0" fontId="83" fillId="0" borderId="0"/>
    <xf numFmtId="10" fontId="83" fillId="0" borderId="0"/>
    <xf numFmtId="43" fontId="249" fillId="0" borderId="0" applyFont="0" applyFill="0" applyBorder="0" applyAlignment="0" applyProtection="0"/>
    <xf numFmtId="0" fontId="264" fillId="5" borderId="0" applyBorder="0" applyAlignment="0"/>
    <xf numFmtId="253" fontId="12" fillId="0" borderId="0" applyFont="0" applyFill="0" applyBorder="0" applyAlignment="0" applyProtection="0"/>
    <xf numFmtId="0" fontId="265" fillId="0" borderId="0"/>
    <xf numFmtId="0" fontId="266" fillId="0" borderId="0"/>
    <xf numFmtId="0" fontId="20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5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8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68" fillId="0" borderId="0"/>
    <xf numFmtId="38" fontId="20" fillId="0" borderId="0" applyFont="0" applyFill="0" applyBorder="0" applyAlignment="0" applyProtection="0"/>
    <xf numFmtId="316" fontId="12" fillId="0" borderId="0">
      <alignment horizontal="left" wrapText="1"/>
    </xf>
    <xf numFmtId="316" fontId="12" fillId="0" borderId="0">
      <alignment horizontal="left" wrapText="1"/>
    </xf>
    <xf numFmtId="0" fontId="268" fillId="0" borderId="0"/>
    <xf numFmtId="0" fontId="12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259" fillId="0" borderId="0"/>
    <xf numFmtId="0" fontId="12" fillId="0" borderId="0">
      <alignment horizontal="left" wrapText="1"/>
    </xf>
    <xf numFmtId="0" fontId="12" fillId="0" borderId="0">
      <alignment horizontal="left" wrapText="1"/>
    </xf>
    <xf numFmtId="342" fontId="12" fillId="0" borderId="0">
      <alignment horizontal="left" wrapText="1"/>
    </xf>
    <xf numFmtId="313" fontId="10" fillId="0" borderId="0">
      <alignment horizontal="left" wrapText="1"/>
    </xf>
    <xf numFmtId="313" fontId="10" fillId="0" borderId="0">
      <alignment horizontal="left" wrapText="1"/>
    </xf>
    <xf numFmtId="342" fontId="12" fillId="0" borderId="0">
      <alignment horizontal="left" wrapText="1"/>
    </xf>
    <xf numFmtId="0" fontId="12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>
      <alignment horizontal="left" wrapText="1"/>
    </xf>
    <xf numFmtId="0" fontId="268" fillId="0" borderId="0"/>
    <xf numFmtId="0" fontId="268" fillId="0" borderId="0"/>
    <xf numFmtId="0" fontId="12" fillId="0" borderId="0"/>
    <xf numFmtId="316" fontId="12" fillId="0" borderId="0">
      <alignment horizontal="left" wrapText="1"/>
    </xf>
    <xf numFmtId="0" fontId="269" fillId="0" borderId="0"/>
    <xf numFmtId="0" fontId="12" fillId="5" borderId="0"/>
    <xf numFmtId="0" fontId="269" fillId="0" borderId="0"/>
    <xf numFmtId="0" fontId="270" fillId="28" borderId="0"/>
    <xf numFmtId="0" fontId="269" fillId="0" borderId="0"/>
    <xf numFmtId="0" fontId="271" fillId="48" borderId="0"/>
    <xf numFmtId="0" fontId="269" fillId="0" borderId="0"/>
    <xf numFmtId="0" fontId="272" fillId="75" borderId="0"/>
    <xf numFmtId="0" fontId="269" fillId="0" borderId="0"/>
    <xf numFmtId="0" fontId="273" fillId="0" borderId="0"/>
    <xf numFmtId="0" fontId="269" fillId="0" borderId="0"/>
    <xf numFmtId="0" fontId="23" fillId="0" borderId="0"/>
    <xf numFmtId="0" fontId="269" fillId="0" borderId="0"/>
    <xf numFmtId="0" fontId="44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68" fillId="0" borderId="0"/>
    <xf numFmtId="0" fontId="268" fillId="0" borderId="0"/>
    <xf numFmtId="0" fontId="12" fillId="0" borderId="0" applyNumberForma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4" fillId="0" borderId="0" applyFont="0" applyFill="0" applyBorder="0" applyAlignment="0" applyProtection="0"/>
    <xf numFmtId="0" fontId="12" fillId="0" borderId="0"/>
    <xf numFmtId="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4" fontId="18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9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0" fontId="14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0" fontId="8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8" fillId="0" borderId="0" applyFont="0" applyFill="0" applyBorder="0" applyAlignment="0" applyProtection="0"/>
    <xf numFmtId="304" fontId="12" fillId="0" borderId="0" applyFont="0" applyFill="0" applyBorder="0" applyAlignment="0" applyProtection="0"/>
    <xf numFmtId="14" fontId="18" fillId="0" borderId="0" applyFont="0" applyFill="0" applyBorder="0" applyAlignment="0" applyProtection="0"/>
    <xf numFmtId="304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4" fillId="0" borderId="0" applyFont="0" applyFill="0" applyBorder="0" applyAlignment="0" applyProtection="0"/>
    <xf numFmtId="0" fontId="12" fillId="0" borderId="0"/>
    <xf numFmtId="0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91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4" fillId="0" borderId="0" applyFont="0" applyFill="0" applyBorder="0" applyAlignment="0" applyProtection="0"/>
    <xf numFmtId="191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8" fillId="0" borderId="0" applyFont="0" applyFill="0" applyBorder="0" applyAlignment="0" applyProtection="0"/>
    <xf numFmtId="39" fontId="12" fillId="0" borderId="0" applyFont="0" applyFill="0" applyBorder="0" applyAlignment="0" applyProtection="0"/>
    <xf numFmtId="0" fontId="274" fillId="24" borderId="58">
      <alignment horizontal="right"/>
    </xf>
    <xf numFmtId="0" fontId="12" fillId="34" borderId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189" fontId="12" fillId="0" borderId="0" applyFont="0" applyFill="0" applyBorder="0" applyAlignment="0" applyProtection="0"/>
    <xf numFmtId="314" fontId="10" fillId="0" borderId="0" applyFont="0" applyFill="0" applyBorder="0" applyAlignment="0" applyProtection="0"/>
    <xf numFmtId="314" fontId="10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268" fillId="0" borderId="0"/>
    <xf numFmtId="0" fontId="12" fillId="0" borderId="0" applyFont="0" applyFill="0" applyBorder="0" applyAlignment="0" applyProtection="0"/>
    <xf numFmtId="0" fontId="12" fillId="0" borderId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4" fillId="0" borderId="0" applyFont="0" applyFill="0" applyBorder="0" applyProtection="0">
      <alignment horizontal="right"/>
    </xf>
    <xf numFmtId="0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3" fillId="0" borderId="2" applyFont="0" applyFill="0" applyBorder="0" applyAlignment="0" applyProtection="0"/>
    <xf numFmtId="0" fontId="23" fillId="0" borderId="2" applyFont="0" applyFill="0" applyBorder="0" applyAlignment="0" applyProtection="0"/>
    <xf numFmtId="193" fontId="12" fillId="0" borderId="0" applyFont="0" applyFill="0" applyBorder="0" applyAlignment="0" applyProtection="0"/>
    <xf numFmtId="0" fontId="23" fillId="0" borderId="2" applyFont="0" applyFill="0" applyBorder="0" applyAlignment="0" applyProtection="0"/>
    <xf numFmtId="0" fontId="275" fillId="0" borderId="0" applyBorder="0">
      <alignment wrapText="1"/>
    </xf>
    <xf numFmtId="0" fontId="250" fillId="76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3" borderId="0" applyNumberFormat="0" applyFont="0" applyAlignment="0" applyProtection="0"/>
    <xf numFmtId="0" fontId="12" fillId="0" borderId="0"/>
    <xf numFmtId="0" fontId="12" fillId="0" borderId="0"/>
    <xf numFmtId="0" fontId="12" fillId="0" borderId="0"/>
    <xf numFmtId="309" fontId="12" fillId="0" borderId="0">
      <alignment horizontal="left" wrapText="1"/>
    </xf>
    <xf numFmtId="229" fontId="12" fillId="0" borderId="0">
      <alignment horizontal="left" wrapText="1"/>
    </xf>
    <xf numFmtId="309" fontId="12" fillId="0" borderId="0">
      <alignment horizontal="left" wrapText="1"/>
    </xf>
    <xf numFmtId="0" fontId="12" fillId="0" borderId="0">
      <alignment horizontal="left" wrapText="1"/>
    </xf>
    <xf numFmtId="0" fontId="26" fillId="0" borderId="0" applyFont="0" applyFill="0" applyBorder="0" applyProtection="0">
      <alignment horizontal="right"/>
    </xf>
    <xf numFmtId="0" fontId="26" fillId="0" borderId="0" applyFont="0" applyFill="0" applyBorder="0" applyProtection="0">
      <alignment horizontal="right"/>
    </xf>
    <xf numFmtId="0" fontId="26" fillId="0" borderId="0" applyFont="0" applyFill="0" applyBorder="0" applyProtection="0">
      <alignment horizontal="right"/>
    </xf>
    <xf numFmtId="0" fontId="26" fillId="0" borderId="0" applyFont="0" applyFill="0" applyBorder="0" applyProtection="0">
      <alignment horizontal="right"/>
    </xf>
    <xf numFmtId="0" fontId="26" fillId="0" borderId="0" applyFont="0" applyFill="0" applyBorder="0" applyProtection="0">
      <alignment horizontal="right"/>
    </xf>
    <xf numFmtId="0" fontId="26" fillId="0" borderId="0" applyFont="0" applyFill="0" applyBorder="0" applyProtection="0">
      <alignment horizontal="right"/>
    </xf>
    <xf numFmtId="0" fontId="26" fillId="0" borderId="0" applyFont="0" applyFill="0" applyBorder="0" applyProtection="0">
      <alignment horizontal="right"/>
    </xf>
    <xf numFmtId="0" fontId="268" fillId="0" borderId="0"/>
    <xf numFmtId="0" fontId="12" fillId="0" borderId="0" applyFont="0" applyFill="0" applyBorder="0" applyAlignment="0" applyProtection="0"/>
    <xf numFmtId="316" fontId="12" fillId="0" borderId="0">
      <alignment horizontal="left" wrapText="1"/>
    </xf>
    <xf numFmtId="19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98" fontId="12" fillId="0" borderId="0" applyFont="0" applyFill="0" applyBorder="0" applyProtection="0">
      <alignment horizontal="right"/>
    </xf>
    <xf numFmtId="199" fontId="12" fillId="0" borderId="0" applyFont="0" applyFill="0" applyBorder="0" applyAlignment="0" applyProtection="0"/>
    <xf numFmtId="199" fontId="14" fillId="0" borderId="0" applyFont="0" applyFill="0" applyBorder="0" applyAlignment="0" applyProtection="0"/>
    <xf numFmtId="0" fontId="12" fillId="0" borderId="0"/>
    <xf numFmtId="19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91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8" fontId="12" fillId="0" borderId="0" applyFont="0" applyFill="0" applyBorder="0" applyProtection="0">
      <alignment horizontal="right"/>
    </xf>
    <xf numFmtId="305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9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315" fontId="10" fillId="0" borderId="0" applyFont="0" applyFill="0" applyBorder="0" applyAlignment="0" applyProtection="0"/>
    <xf numFmtId="196" fontId="12" fillId="0" borderId="0" applyFont="0" applyFill="0" applyBorder="0" applyAlignment="0" applyProtection="0"/>
    <xf numFmtId="198" fontId="12" fillId="0" borderId="0" applyFont="0" applyFill="0" applyBorder="0" applyProtection="0">
      <alignment horizontal="right"/>
    </xf>
    <xf numFmtId="198" fontId="12" fillId="0" borderId="0" applyFont="0" applyFill="0" applyBorder="0" applyProtection="0">
      <alignment horizontal="right"/>
    </xf>
    <xf numFmtId="196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4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8" fillId="0" borderId="0"/>
    <xf numFmtId="0" fontId="9" fillId="0" borderId="0"/>
    <xf numFmtId="43" fontId="9" fillId="0" borderId="0" applyFont="0" applyFill="0" applyBorder="0" applyAlignment="0" applyProtection="0"/>
    <xf numFmtId="0" fontId="8" fillId="0" borderId="0"/>
    <xf numFmtId="43" fontId="18" fillId="0" borderId="0"/>
    <xf numFmtId="43" fontId="18" fillId="0" borderId="0"/>
    <xf numFmtId="43" fontId="18" fillId="0" borderId="0"/>
    <xf numFmtId="43" fontId="18" fillId="0" borderId="0"/>
    <xf numFmtId="43" fontId="18" fillId="0" borderId="0"/>
    <xf numFmtId="43" fontId="18" fillId="0" borderId="0"/>
    <xf numFmtId="43" fontId="18" fillId="0" borderId="0"/>
    <xf numFmtId="43" fontId="18" fillId="0" borderId="0"/>
    <xf numFmtId="343" fontId="12" fillId="5" borderId="0"/>
    <xf numFmtId="343" fontId="12" fillId="5" borderId="0"/>
    <xf numFmtId="343" fontId="12" fillId="5" borderId="0"/>
    <xf numFmtId="343" fontId="12" fillId="5" borderId="0"/>
    <xf numFmtId="343" fontId="12" fillId="5" borderId="0"/>
    <xf numFmtId="343" fontId="12" fillId="5" borderId="0"/>
    <xf numFmtId="343" fontId="12" fillId="5" borderId="0"/>
    <xf numFmtId="0" fontId="276" fillId="0" borderId="0"/>
    <xf numFmtId="0" fontId="277" fillId="0" borderId="0" applyAlignment="0"/>
    <xf numFmtId="0" fontId="278" fillId="33" borderId="0" applyAlignment="0"/>
    <xf numFmtId="0" fontId="279" fillId="0" borderId="0"/>
    <xf numFmtId="9" fontId="279" fillId="0" borderId="0" applyFont="0" applyFill="0" applyBorder="0" applyAlignment="0" applyProtection="0"/>
    <xf numFmtId="42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220" fillId="0" borderId="0"/>
    <xf numFmtId="42" fontId="12" fillId="0" borderId="0" applyFont="0" applyFill="0" applyBorder="0" applyAlignment="0" applyProtection="0"/>
    <xf numFmtId="0" fontId="213" fillId="0" borderId="0"/>
    <xf numFmtId="9" fontId="213" fillId="0" borderId="0" applyFont="0" applyFill="0" applyBorder="0" applyAlignment="0" applyProtection="0"/>
    <xf numFmtId="43" fontId="213" fillId="0" borderId="0" applyFont="0" applyFill="0" applyBorder="0" applyAlignment="0" applyProtection="0"/>
    <xf numFmtId="164" fontId="12" fillId="0" borderId="0" applyFont="0" applyFill="0" applyBorder="0" applyAlignment="0" applyProtection="0"/>
    <xf numFmtId="188" fontId="12" fillId="0" borderId="0" applyFont="0" applyFill="0" applyBorder="0" applyAlignment="0" applyProtection="0"/>
    <xf numFmtId="202" fontId="213" fillId="0" borderId="0" applyFont="0" applyFill="0" applyBorder="0" applyAlignment="0" applyProtection="0"/>
    <xf numFmtId="200" fontId="213" fillId="0" borderId="0" applyFont="0" applyFill="0" applyBorder="0" applyAlignment="0" applyProtection="0"/>
    <xf numFmtId="189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2" fontId="20" fillId="0" borderId="0" applyFont="0" applyFill="0" applyBorder="0" applyAlignment="0" applyProtection="0"/>
    <xf numFmtId="196" fontId="12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20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20" fillId="0" borderId="0" applyFont="0" applyFill="0" applyBorder="0" applyAlignment="0" applyProtection="0"/>
    <xf numFmtId="0" fontId="169" fillId="33" borderId="0" applyAlignment="0"/>
    <xf numFmtId="0" fontId="137" fillId="0" borderId="0" applyAlignment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219" fillId="0" borderId="0"/>
    <xf numFmtId="0" fontId="18" fillId="0" borderId="0"/>
    <xf numFmtId="38" fontId="84" fillId="0" borderId="0" applyFont="0" applyFill="0" applyBorder="0" applyAlignment="0" applyProtection="0"/>
    <xf numFmtId="0" fontId="12" fillId="0" borderId="0"/>
    <xf numFmtId="37" fontId="110" fillId="0" borderId="0">
      <alignment horizontal="fill"/>
    </xf>
    <xf numFmtId="0" fontId="16" fillId="0" borderId="0">
      <alignment horizontal="right"/>
    </xf>
    <xf numFmtId="0" fontId="71" fillId="0" borderId="0"/>
    <xf numFmtId="322" fontId="12" fillId="0" borderId="0" applyFont="0" applyFill="0" applyBorder="0" applyAlignment="0" applyProtection="0"/>
    <xf numFmtId="0" fontId="280" fillId="0" borderId="0"/>
    <xf numFmtId="43" fontId="280" fillId="0" borderId="0" applyFont="0" applyFill="0" applyBorder="0" applyAlignment="0" applyProtection="0"/>
    <xf numFmtId="9" fontId="280" fillId="0" borderId="0" applyFont="0" applyFill="0" applyBorder="0" applyAlignment="0" applyProtection="0"/>
    <xf numFmtId="0" fontId="175" fillId="0" borderId="0"/>
    <xf numFmtId="0" fontId="281" fillId="77" borderId="0" applyNumberFormat="0" applyBorder="0" applyAlignment="0" applyProtection="0"/>
    <xf numFmtId="0" fontId="281" fillId="19" borderId="0" applyNumberFormat="0" applyBorder="0" applyAlignment="0" applyProtection="0"/>
    <xf numFmtId="0" fontId="281" fillId="78" borderId="0" applyNumberFormat="0" applyBorder="0" applyAlignment="0" applyProtection="0"/>
    <xf numFmtId="0" fontId="281" fillId="36" borderId="0" applyNumberFormat="0" applyBorder="0" applyAlignment="0" applyProtection="0"/>
    <xf numFmtId="0" fontId="281" fillId="77" borderId="0" applyNumberFormat="0" applyBorder="0" applyAlignment="0" applyProtection="0"/>
    <xf numFmtId="0" fontId="281" fillId="41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6" borderId="0" applyNumberFormat="0" applyBorder="0" applyAlignment="0" applyProtection="0"/>
    <xf numFmtId="0" fontId="214" fillId="7" borderId="0" applyNumberFormat="0" applyBorder="0" applyAlignment="0" applyProtection="0"/>
    <xf numFmtId="0" fontId="214" fillId="8" borderId="0" applyNumberFormat="0" applyBorder="0" applyAlignment="0" applyProtection="0"/>
    <xf numFmtId="0" fontId="214" fillId="9" borderId="0" applyNumberFormat="0" applyBorder="0" applyAlignment="0" applyProtection="0"/>
    <xf numFmtId="0" fontId="214" fillId="10" borderId="0" applyNumberFormat="0" applyBorder="0" applyAlignment="0" applyProtection="0"/>
    <xf numFmtId="0" fontId="214" fillId="11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6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7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8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0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14" fillId="11" borderId="0" applyNumberFormat="0" applyBorder="0" applyAlignment="0" applyProtection="0"/>
    <xf numFmtId="0" fontId="282" fillId="6" borderId="0" applyNumberFormat="0" applyBorder="0" applyAlignment="0" applyProtection="0">
      <alignment vertical="center"/>
    </xf>
    <xf numFmtId="0" fontId="282" fillId="6" borderId="0" applyNumberFormat="0" applyBorder="0" applyAlignment="0" applyProtection="0">
      <alignment vertical="center"/>
    </xf>
    <xf numFmtId="0" fontId="282" fillId="7" borderId="0" applyNumberFormat="0" applyBorder="0" applyAlignment="0" applyProtection="0">
      <alignment vertical="center"/>
    </xf>
    <xf numFmtId="0" fontId="282" fillId="7" borderId="0" applyNumberFormat="0" applyBorder="0" applyAlignment="0" applyProtection="0">
      <alignment vertical="center"/>
    </xf>
    <xf numFmtId="0" fontId="282" fillId="8" borderId="0" applyNumberFormat="0" applyBorder="0" applyAlignment="0" applyProtection="0">
      <alignment vertical="center"/>
    </xf>
    <xf numFmtId="0" fontId="282" fillId="8" borderId="0" applyNumberFormat="0" applyBorder="0" applyAlignment="0" applyProtection="0">
      <alignment vertical="center"/>
    </xf>
    <xf numFmtId="0" fontId="282" fillId="9" borderId="0" applyNumberFormat="0" applyBorder="0" applyAlignment="0" applyProtection="0">
      <alignment vertical="center"/>
    </xf>
    <xf numFmtId="0" fontId="282" fillId="9" borderId="0" applyNumberFormat="0" applyBorder="0" applyAlignment="0" applyProtection="0">
      <alignment vertical="center"/>
    </xf>
    <xf numFmtId="0" fontId="282" fillId="66" borderId="0" applyNumberFormat="0" applyBorder="0" applyAlignment="0" applyProtection="0">
      <alignment vertical="center"/>
    </xf>
    <xf numFmtId="0" fontId="282" fillId="66" borderId="0" applyNumberFormat="0" applyBorder="0" applyAlignment="0" applyProtection="0">
      <alignment vertical="center"/>
    </xf>
    <xf numFmtId="0" fontId="282" fillId="67" borderId="0" applyNumberFormat="0" applyBorder="0" applyAlignment="0" applyProtection="0">
      <alignment vertical="center"/>
    </xf>
    <xf numFmtId="0" fontId="282" fillId="67" borderId="0" applyNumberFormat="0" applyBorder="0" applyAlignment="0" applyProtection="0">
      <alignment vertical="center"/>
    </xf>
    <xf numFmtId="0" fontId="281" fillId="77" borderId="0" applyNumberFormat="0" applyBorder="0" applyAlignment="0" applyProtection="0"/>
    <xf numFmtId="0" fontId="281" fillId="45" borderId="0" applyNumberFormat="0" applyBorder="0" applyAlignment="0" applyProtection="0"/>
    <xf numFmtId="0" fontId="281" fillId="78" borderId="0" applyNumberFormat="0" applyBorder="0" applyAlignment="0" applyProtection="0"/>
    <xf numFmtId="0" fontId="281" fillId="77" borderId="0" applyNumberFormat="0" applyBorder="0" applyAlignment="0" applyProtection="0"/>
    <xf numFmtId="0" fontId="281" fillId="77" borderId="0" applyNumberFormat="0" applyBorder="0" applyAlignment="0" applyProtection="0"/>
    <xf numFmtId="0" fontId="281" fillId="41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2" borderId="0" applyNumberFormat="0" applyBorder="0" applyAlignment="0" applyProtection="0"/>
    <xf numFmtId="0" fontId="214" fillId="13" borderId="0" applyNumberFormat="0" applyBorder="0" applyAlignment="0" applyProtection="0"/>
    <xf numFmtId="0" fontId="214" fillId="14" borderId="0" applyNumberFormat="0" applyBorder="0" applyAlignment="0" applyProtection="0"/>
    <xf numFmtId="0" fontId="214" fillId="9" borderId="0" applyNumberFormat="0" applyBorder="0" applyAlignment="0" applyProtection="0"/>
    <xf numFmtId="0" fontId="214" fillId="12" borderId="0" applyNumberFormat="0" applyBorder="0" applyAlignment="0" applyProtection="0"/>
    <xf numFmtId="0" fontId="214" fillId="15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3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14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9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2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14" fillId="15" borderId="0" applyNumberFormat="0" applyBorder="0" applyAlignment="0" applyProtection="0"/>
    <xf numFmtId="0" fontId="282" fillId="12" borderId="0" applyNumberFormat="0" applyBorder="0" applyAlignment="0" applyProtection="0">
      <alignment vertical="center"/>
    </xf>
    <xf numFmtId="0" fontId="282" fillId="12" borderId="0" applyNumberFormat="0" applyBorder="0" applyAlignment="0" applyProtection="0">
      <alignment vertical="center"/>
    </xf>
    <xf numFmtId="0" fontId="282" fillId="69" borderId="0" applyNumberFormat="0" applyBorder="0" applyAlignment="0" applyProtection="0">
      <alignment vertical="center"/>
    </xf>
    <xf numFmtId="0" fontId="282" fillId="69" borderId="0" applyNumberFormat="0" applyBorder="0" applyAlignment="0" applyProtection="0">
      <alignment vertical="center"/>
    </xf>
    <xf numFmtId="0" fontId="282" fillId="14" borderId="0" applyNumberFormat="0" applyBorder="0" applyAlignment="0" applyProtection="0">
      <alignment vertical="center"/>
    </xf>
    <xf numFmtId="0" fontId="282" fillId="14" borderId="0" applyNumberFormat="0" applyBorder="0" applyAlignment="0" applyProtection="0">
      <alignment vertical="center"/>
    </xf>
    <xf numFmtId="0" fontId="282" fillId="9" borderId="0" applyNumberFormat="0" applyBorder="0" applyAlignment="0" applyProtection="0">
      <alignment vertical="center"/>
    </xf>
    <xf numFmtId="0" fontId="282" fillId="9" borderId="0" applyNumberFormat="0" applyBorder="0" applyAlignment="0" applyProtection="0">
      <alignment vertical="center"/>
    </xf>
    <xf numFmtId="0" fontId="282" fillId="72" borderId="0" applyNumberFormat="0" applyBorder="0" applyAlignment="0" applyProtection="0">
      <alignment vertical="center"/>
    </xf>
    <xf numFmtId="0" fontId="282" fillId="72" borderId="0" applyNumberFormat="0" applyBorder="0" applyAlignment="0" applyProtection="0">
      <alignment vertical="center"/>
    </xf>
    <xf numFmtId="0" fontId="282" fillId="15" borderId="0" applyNumberFormat="0" applyBorder="0" applyAlignment="0" applyProtection="0">
      <alignment vertical="center"/>
    </xf>
    <xf numFmtId="0" fontId="282" fillId="15" borderId="0" applyNumberFormat="0" applyBorder="0" applyAlignment="0" applyProtection="0">
      <alignment vertical="center"/>
    </xf>
    <xf numFmtId="0" fontId="283" fillId="77" borderId="0" applyNumberFormat="0" applyBorder="0" applyAlignment="0" applyProtection="0"/>
    <xf numFmtId="0" fontId="283" fillId="78" borderId="0" applyNumberFormat="0" applyBorder="0" applyAlignment="0" applyProtection="0"/>
    <xf numFmtId="0" fontId="283" fillId="78" borderId="0" applyNumberFormat="0" applyBorder="0" applyAlignment="0" applyProtection="0"/>
    <xf numFmtId="0" fontId="283" fillId="77" borderId="0" applyNumberFormat="0" applyBorder="0" applyAlignment="0" applyProtection="0"/>
    <xf numFmtId="0" fontId="283" fillId="77" borderId="0" applyNumberFormat="0" applyBorder="0" applyAlignment="0" applyProtection="0"/>
    <xf numFmtId="0" fontId="283" fillId="13" borderId="0" applyNumberFormat="0" applyBorder="0" applyAlignment="0" applyProtection="0"/>
    <xf numFmtId="0" fontId="215" fillId="16" borderId="0" applyNumberFormat="0" applyBorder="0" applyAlignment="0" applyProtection="0"/>
    <xf numFmtId="0" fontId="215" fillId="13" borderId="0" applyNumberFormat="0" applyBorder="0" applyAlignment="0" applyProtection="0"/>
    <xf numFmtId="0" fontId="215" fillId="14" borderId="0" applyNumberFormat="0" applyBorder="0" applyAlignment="0" applyProtection="0"/>
    <xf numFmtId="0" fontId="215" fillId="17" borderId="0" applyNumberFormat="0" applyBorder="0" applyAlignment="0" applyProtection="0"/>
    <xf numFmtId="0" fontId="215" fillId="18" borderId="0" applyNumberFormat="0" applyBorder="0" applyAlignment="0" applyProtection="0"/>
    <xf numFmtId="0" fontId="215" fillId="19" borderId="0" applyNumberFormat="0" applyBorder="0" applyAlignment="0" applyProtection="0"/>
    <xf numFmtId="0" fontId="215" fillId="16" borderId="0" applyNumberFormat="0" applyBorder="0" applyAlignment="0" applyProtection="0"/>
    <xf numFmtId="0" fontId="215" fillId="16" borderId="0" applyNumberFormat="0" applyBorder="0" applyAlignment="0" applyProtection="0"/>
    <xf numFmtId="0" fontId="215" fillId="18" borderId="0" applyNumberFormat="0" applyBorder="0" applyAlignment="0" applyProtection="0"/>
    <xf numFmtId="0" fontId="215" fillId="13" borderId="0" applyNumberFormat="0" applyBorder="0" applyAlignment="0" applyProtection="0"/>
    <xf numFmtId="0" fontId="215" fillId="13" borderId="0" applyNumberFormat="0" applyBorder="0" applyAlignment="0" applyProtection="0"/>
    <xf numFmtId="0" fontId="215" fillId="14" borderId="0" applyNumberFormat="0" applyBorder="0" applyAlignment="0" applyProtection="0"/>
    <xf numFmtId="0" fontId="215" fillId="14" borderId="0" applyNumberFormat="0" applyBorder="0" applyAlignment="0" applyProtection="0"/>
    <xf numFmtId="0" fontId="215" fillId="3" borderId="0" applyNumberFormat="0" applyBorder="0" applyAlignment="0" applyProtection="0"/>
    <xf numFmtId="0" fontId="215" fillId="17" borderId="0" applyNumberFormat="0" applyBorder="0" applyAlignment="0" applyProtection="0"/>
    <xf numFmtId="0" fontId="215" fillId="17" borderId="0" applyNumberFormat="0" applyBorder="0" applyAlignment="0" applyProtection="0"/>
    <xf numFmtId="0" fontId="215" fillId="29" borderId="0" applyNumberFormat="0" applyBorder="0" applyAlignment="0" applyProtection="0"/>
    <xf numFmtId="0" fontId="215" fillId="18" borderId="0" applyNumberFormat="0" applyBorder="0" applyAlignment="0" applyProtection="0"/>
    <xf numFmtId="0" fontId="215" fillId="18" borderId="0" applyNumberFormat="0" applyBorder="0" applyAlignment="0" applyProtection="0"/>
    <xf numFmtId="0" fontId="215" fillId="19" borderId="0" applyNumberFormat="0" applyBorder="0" applyAlignment="0" applyProtection="0"/>
    <xf numFmtId="0" fontId="215" fillId="19" borderId="0" applyNumberFormat="0" applyBorder="0" applyAlignment="0" applyProtection="0"/>
    <xf numFmtId="0" fontId="215" fillId="11" borderId="0" applyNumberFormat="0" applyBorder="0" applyAlignment="0" applyProtection="0"/>
    <xf numFmtId="0" fontId="284" fillId="16" borderId="0" applyNumberFormat="0" applyBorder="0" applyAlignment="0" applyProtection="0">
      <alignment vertical="center"/>
    </xf>
    <xf numFmtId="0" fontId="284" fillId="16" borderId="0" applyNumberFormat="0" applyBorder="0" applyAlignment="0" applyProtection="0">
      <alignment vertical="center"/>
    </xf>
    <xf numFmtId="0" fontId="284" fillId="79" borderId="0" applyNumberFormat="0" applyBorder="0" applyAlignment="0" applyProtection="0">
      <alignment vertical="center"/>
    </xf>
    <xf numFmtId="0" fontId="284" fillId="79" borderId="0" applyNumberFormat="0" applyBorder="0" applyAlignment="0" applyProtection="0">
      <alignment vertical="center"/>
    </xf>
    <xf numFmtId="0" fontId="284" fillId="14" borderId="0" applyNumberFormat="0" applyBorder="0" applyAlignment="0" applyProtection="0">
      <alignment vertical="center"/>
    </xf>
    <xf numFmtId="0" fontId="284" fillId="14" borderId="0" applyNumberFormat="0" applyBorder="0" applyAlignment="0" applyProtection="0">
      <alignment vertical="center"/>
    </xf>
    <xf numFmtId="0" fontId="284" fillId="17" borderId="0" applyNumberFormat="0" applyBorder="0" applyAlignment="0" applyProtection="0">
      <alignment vertical="center"/>
    </xf>
    <xf numFmtId="0" fontId="284" fillId="17" borderId="0" applyNumberFormat="0" applyBorder="0" applyAlignment="0" applyProtection="0">
      <alignment vertical="center"/>
    </xf>
    <xf numFmtId="0" fontId="284" fillId="80" borderId="0" applyNumberFormat="0" applyBorder="0" applyAlignment="0" applyProtection="0">
      <alignment vertical="center"/>
    </xf>
    <xf numFmtId="0" fontId="284" fillId="80" borderId="0" applyNumberFormat="0" applyBorder="0" applyAlignment="0" applyProtection="0">
      <alignment vertical="center"/>
    </xf>
    <xf numFmtId="0" fontId="284" fillId="19" borderId="0" applyNumberFormat="0" applyBorder="0" applyAlignment="0" applyProtection="0">
      <alignment vertical="center"/>
    </xf>
    <xf numFmtId="0" fontId="284" fillId="19" borderId="0" applyNumberFormat="0" applyBorder="0" applyAlignment="0" applyProtection="0">
      <alignment vertical="center"/>
    </xf>
    <xf numFmtId="359" fontId="79" fillId="0" borderId="75" applyFont="0" applyFill="0">
      <alignment horizontal="left"/>
    </xf>
    <xf numFmtId="360" fontId="79" fillId="0" borderId="20" applyAlignment="0">
      <alignment horizontal="left"/>
    </xf>
    <xf numFmtId="361" fontId="285" fillId="50" borderId="76">
      <alignment horizontal="center" vertical="center"/>
    </xf>
    <xf numFmtId="361" fontId="285" fillId="50" borderId="76">
      <alignment horizontal="center" vertical="center"/>
    </xf>
    <xf numFmtId="361" fontId="285" fillId="50" borderId="76">
      <alignment horizontal="center" vertical="center"/>
    </xf>
    <xf numFmtId="361" fontId="285" fillId="50" borderId="76">
      <alignment horizontal="center" vertical="center"/>
    </xf>
    <xf numFmtId="361" fontId="285" fillId="50" borderId="76">
      <alignment horizontal="center" vertical="center"/>
    </xf>
    <xf numFmtId="361" fontId="285" fillId="50" borderId="76">
      <alignment horizontal="center" vertical="center"/>
    </xf>
    <xf numFmtId="0" fontId="23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86" fillId="0" borderId="0" applyNumberFormat="0" applyFill="0" applyBorder="0" applyAlignment="0" applyProtection="0"/>
    <xf numFmtId="0" fontId="287" fillId="0" borderId="0"/>
    <xf numFmtId="322" fontId="6" fillId="0" borderId="0" applyFont="0" applyFill="0" applyBorder="0" applyAlignment="0" applyProtection="0"/>
    <xf numFmtId="9" fontId="287" fillId="0" borderId="0" applyFont="0" applyFill="0" applyBorder="0" applyAlignment="0" applyProtection="0"/>
    <xf numFmtId="322" fontId="12" fillId="0" borderId="0" applyFont="0" applyFill="0" applyBorder="0" applyAlignment="0" applyProtection="0"/>
    <xf numFmtId="0" fontId="12" fillId="0" borderId="0"/>
    <xf numFmtId="0" fontId="5" fillId="0" borderId="0"/>
    <xf numFmtId="43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88" fillId="0" borderId="0"/>
    <xf numFmtId="43" fontId="288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2" fillId="0" borderId="0">
      <alignment vertical="center"/>
    </xf>
    <xf numFmtId="10" fontId="12" fillId="0" borderId="0" applyNumberFormat="0" applyFont="0" applyBorder="0"/>
    <xf numFmtId="338" fontId="10" fillId="0" borderId="0"/>
    <xf numFmtId="0" fontId="12" fillId="0" borderId="0"/>
    <xf numFmtId="0" fontId="10" fillId="0" borderId="0"/>
    <xf numFmtId="9" fontId="10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289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8" fillId="0" borderId="0"/>
    <xf numFmtId="0" fontId="280" fillId="82" borderId="0" applyAlignment="0"/>
    <xf numFmtId="0" fontId="291" fillId="0" borderId="0" applyNumberFormat="0" applyFill="0" applyBorder="0" applyAlignment="0" applyProtection="0"/>
    <xf numFmtId="0" fontId="292" fillId="0" borderId="0" applyNumberFormat="0" applyFill="0" applyBorder="0" applyAlignment="0" applyProtection="0"/>
    <xf numFmtId="0" fontId="293" fillId="0" borderId="0"/>
    <xf numFmtId="43" fontId="220" fillId="0" borderId="0" applyFont="0" applyFill="0" applyBorder="0" applyAlignment="0" applyProtection="0"/>
    <xf numFmtId="9" fontId="220" fillId="0" borderId="0" applyFont="0" applyFill="0" applyBorder="0" applyAlignment="0" applyProtection="0"/>
    <xf numFmtId="362" fontId="48" fillId="0" borderId="0">
      <alignment horizontal="right"/>
    </xf>
    <xf numFmtId="0" fontId="12" fillId="0" borderId="0"/>
    <xf numFmtId="0" fontId="294" fillId="0" borderId="0"/>
    <xf numFmtId="0" fontId="294" fillId="0" borderId="0"/>
    <xf numFmtId="0" fontId="294" fillId="0" borderId="0"/>
    <xf numFmtId="0" fontId="18" fillId="0" borderId="0"/>
    <xf numFmtId="5" fontId="240" fillId="0" borderId="0" applyFont="0" applyFill="0" applyBorder="0" applyAlignment="0" applyProtection="0"/>
    <xf numFmtId="5" fontId="240" fillId="0" borderId="0" applyFont="0" applyFill="0" applyBorder="0" applyAlignment="0" applyProtection="0"/>
    <xf numFmtId="0" fontId="294" fillId="0" borderId="0"/>
    <xf numFmtId="363" fontId="12" fillId="0" borderId="0"/>
    <xf numFmtId="44" fontId="18" fillId="0" borderId="0" applyFont="0" applyFill="0" applyBorder="0" applyAlignment="0" applyProtection="0"/>
    <xf numFmtId="364" fontId="12" fillId="0" borderId="0" applyFont="0" applyFill="0" applyBorder="0" applyAlignment="0" applyProtection="0"/>
    <xf numFmtId="0" fontId="12" fillId="0" borderId="0"/>
    <xf numFmtId="364" fontId="295" fillId="0" borderId="0" applyFont="0" applyFill="0" applyBorder="0" applyAlignment="0" applyProtection="0"/>
    <xf numFmtId="9" fontId="240" fillId="0" borderId="0" applyFont="0" applyFill="0" applyBorder="0" applyAlignment="0" applyProtection="0"/>
    <xf numFmtId="9" fontId="240" fillId="0" borderId="0" applyFont="0" applyFill="0" applyBorder="0" applyAlignment="0" applyProtection="0"/>
    <xf numFmtId="0" fontId="12" fillId="0" borderId="0" applyNumberFormat="0" applyFont="0" applyFill="0" applyBorder="0" applyAlignment="0" applyProtection="0"/>
    <xf numFmtId="38" fontId="12" fillId="0" borderId="0" applyFont="0" applyFill="0" applyBorder="0" applyAlignment="0" applyProtection="0">
      <alignment vertical="top"/>
    </xf>
    <xf numFmtId="3" fontId="12" fillId="0" borderId="0" applyNumberFormat="0" applyFill="0" applyBorder="0" applyAlignment="0" applyProtection="0"/>
    <xf numFmtId="3" fontId="12" fillId="0" borderId="0" applyNumberFormat="0" applyBorder="0" applyAlignment="0" applyProtection="0"/>
    <xf numFmtId="2" fontId="12" fillId="4" borderId="0">
      <alignment vertical="center"/>
      <protection locked="0"/>
    </xf>
    <xf numFmtId="2" fontId="12" fillId="4" borderId="0">
      <alignment vertical="center"/>
      <protection locked="0"/>
    </xf>
    <xf numFmtId="2" fontId="12" fillId="4" borderId="0">
      <alignment vertical="center"/>
      <protection locked="0"/>
    </xf>
    <xf numFmtId="17" fontId="296" fillId="0" borderId="0">
      <alignment horizontal="center"/>
    </xf>
    <xf numFmtId="0" fontId="12" fillId="0" borderId="0" applyNumberFormat="0" applyFont="0" applyFill="0" applyBorder="0" applyAlignment="0" applyProtection="0"/>
    <xf numFmtId="0" fontId="12" fillId="0" borderId="0"/>
    <xf numFmtId="0" fontId="12" fillId="0" borderId="0"/>
    <xf numFmtId="9" fontId="18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1" fillId="0" borderId="0"/>
    <xf numFmtId="43" fontId="18" fillId="0" borderId="0" applyFont="0" applyFill="0" applyBorder="0" applyAlignment="0" applyProtection="0"/>
    <xf numFmtId="4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290" fillId="0" borderId="0" applyFont="0" applyFill="0" applyBorder="0" applyAlignment="0" applyProtection="0"/>
  </cellStyleXfs>
  <cellXfs count="593">
    <xf numFmtId="338" fontId="0" fillId="0" borderId="0" xfId="0"/>
    <xf numFmtId="0" fontId="10" fillId="61" borderId="0" xfId="0" applyNumberFormat="1" applyFont="1" applyFill="1"/>
    <xf numFmtId="338" fontId="212" fillId="0" borderId="0" xfId="0" applyFont="1"/>
    <xf numFmtId="338" fontId="12" fillId="0" borderId="0" xfId="0" applyFont="1" applyBorder="1" applyAlignment="1">
      <alignment horizontal="right"/>
    </xf>
    <xf numFmtId="43" fontId="12" fillId="0" borderId="0" xfId="343" applyFont="1" applyBorder="1"/>
    <xf numFmtId="0" fontId="97" fillId="61" borderId="0" xfId="0" applyNumberFormat="1" applyFont="1" applyFill="1"/>
    <xf numFmtId="0" fontId="212" fillId="61" borderId="0" xfId="0" applyNumberFormat="1" applyFont="1" applyFill="1"/>
    <xf numFmtId="0" fontId="212" fillId="61" borderId="0" xfId="0" applyNumberFormat="1" applyFont="1" applyFill="1" applyAlignment="1">
      <alignment horizontal="center"/>
    </xf>
    <xf numFmtId="0" fontId="297" fillId="61" borderId="0" xfId="0" applyNumberFormat="1" applyFont="1" applyFill="1" applyAlignment="1">
      <alignment horizontal="center"/>
    </xf>
    <xf numFmtId="37" fontId="212" fillId="61" borderId="0" xfId="0" applyNumberFormat="1" applyFont="1" applyFill="1" applyBorder="1"/>
    <xf numFmtId="166" fontId="212" fillId="61" borderId="0" xfId="0" applyNumberFormat="1" applyFont="1" applyFill="1"/>
    <xf numFmtId="172" fontId="212" fillId="61" borderId="0" xfId="0" applyNumberFormat="1" applyFont="1" applyFill="1" applyAlignment="1">
      <alignment horizontal="center"/>
    </xf>
    <xf numFmtId="0" fontId="212" fillId="61" borderId="0" xfId="0" applyNumberFormat="1" applyFont="1" applyFill="1" applyBorder="1"/>
    <xf numFmtId="5" fontId="212" fillId="61" borderId="0" xfId="0" applyNumberFormat="1" applyFont="1" applyFill="1" applyBorder="1"/>
    <xf numFmtId="0" fontId="299" fillId="61" borderId="0" xfId="0" applyNumberFormat="1" applyFont="1" applyFill="1"/>
    <xf numFmtId="166" fontId="212" fillId="61" borderId="0" xfId="0" applyNumberFormat="1" applyFont="1" applyFill="1" applyBorder="1"/>
    <xf numFmtId="37" fontId="212" fillId="61" borderId="0" xfId="0" applyNumberFormat="1" applyFont="1" applyFill="1"/>
    <xf numFmtId="37" fontId="212" fillId="61" borderId="66" xfId="0" applyNumberFormat="1" applyFont="1" applyFill="1" applyBorder="1"/>
    <xf numFmtId="0" fontId="212" fillId="61" borderId="83" xfId="0" applyNumberFormat="1" applyFont="1" applyFill="1" applyBorder="1"/>
    <xf numFmtId="37" fontId="212" fillId="61" borderId="83" xfId="0" applyNumberFormat="1" applyFont="1" applyFill="1" applyBorder="1"/>
    <xf numFmtId="338" fontId="97" fillId="61" borderId="0" xfId="0" applyFont="1" applyFill="1" applyBorder="1"/>
    <xf numFmtId="172" fontId="212" fillId="61" borderId="0" xfId="0" applyNumberFormat="1" applyFont="1" applyFill="1"/>
    <xf numFmtId="172" fontId="299" fillId="61" borderId="0" xfId="0" applyNumberFormat="1" applyFont="1" applyFill="1"/>
    <xf numFmtId="5" fontId="212" fillId="61" borderId="0" xfId="0" applyNumberFormat="1" applyFont="1" applyFill="1"/>
    <xf numFmtId="338" fontId="97" fillId="61" borderId="0" xfId="0" applyFont="1" applyFill="1"/>
    <xf numFmtId="338" fontId="212" fillId="61" borderId="0" xfId="0" applyFont="1" applyFill="1"/>
    <xf numFmtId="338" fontId="212" fillId="61" borderId="0" xfId="0" applyFont="1" applyFill="1" applyBorder="1"/>
    <xf numFmtId="169" fontId="212" fillId="61" borderId="0" xfId="741" applyNumberFormat="1" applyFont="1" applyFill="1" applyBorder="1"/>
    <xf numFmtId="338" fontId="212" fillId="61" borderId="79" xfId="0" applyFont="1" applyFill="1" applyBorder="1"/>
    <xf numFmtId="37" fontId="212" fillId="61" borderId="79" xfId="0" applyNumberFormat="1" applyFont="1" applyFill="1" applyBorder="1"/>
    <xf numFmtId="338" fontId="212" fillId="61" borderId="83" xfId="0" applyFont="1" applyFill="1" applyBorder="1"/>
    <xf numFmtId="338" fontId="299" fillId="61" borderId="0" xfId="0" applyFont="1" applyFill="1"/>
    <xf numFmtId="0" fontId="12" fillId="61" borderId="0" xfId="0" applyNumberFormat="1" applyFont="1" applyFill="1"/>
    <xf numFmtId="169" fontId="212" fillId="61" borderId="0" xfId="741" applyNumberFormat="1" applyFont="1" applyFill="1"/>
    <xf numFmtId="9" fontId="212" fillId="61" borderId="0" xfId="0" applyNumberFormat="1" applyFont="1" applyFill="1"/>
    <xf numFmtId="169" fontId="299" fillId="61" borderId="0" xfId="741" applyNumberFormat="1" applyFont="1" applyFill="1"/>
    <xf numFmtId="37" fontId="212" fillId="61" borderId="13" xfId="0" applyNumberFormat="1" applyFont="1" applyFill="1" applyBorder="1"/>
    <xf numFmtId="0" fontId="212" fillId="61" borderId="83" xfId="2191" applyFont="1" applyFill="1" applyBorder="1"/>
    <xf numFmtId="0" fontId="97" fillId="61" borderId="0" xfId="2191" applyFont="1" applyFill="1"/>
    <xf numFmtId="0" fontId="212" fillId="61" borderId="0" xfId="2191" applyFont="1" applyFill="1"/>
    <xf numFmtId="0" fontId="212" fillId="61" borderId="0" xfId="2191" applyFont="1" applyFill="1" applyBorder="1"/>
    <xf numFmtId="0" fontId="298" fillId="61" borderId="0" xfId="2191" applyFont="1" applyFill="1"/>
    <xf numFmtId="5" fontId="212" fillId="61" borderId="0" xfId="2191" applyNumberFormat="1" applyFont="1" applyFill="1"/>
    <xf numFmtId="166" fontId="212" fillId="61" borderId="0" xfId="2191" applyNumberFormat="1" applyFont="1" applyFill="1" applyAlignment="1">
      <alignment horizontal="center"/>
    </xf>
    <xf numFmtId="0" fontId="212" fillId="61" borderId="71" xfId="2191" applyFont="1" applyFill="1" applyBorder="1"/>
    <xf numFmtId="169" fontId="299" fillId="61" borderId="47" xfId="741" applyNumberFormat="1" applyFont="1" applyFill="1" applyBorder="1" applyAlignment="1">
      <alignment horizontal="center"/>
    </xf>
    <xf numFmtId="37" fontId="212" fillId="61" borderId="0" xfId="2191" applyNumberFormat="1" applyFont="1" applyFill="1"/>
    <xf numFmtId="169" fontId="299" fillId="61" borderId="6" xfId="741" applyNumberFormat="1" applyFont="1" applyFill="1" applyBorder="1" applyAlignment="1">
      <alignment horizontal="center"/>
    </xf>
    <xf numFmtId="0" fontId="212" fillId="61" borderId="0" xfId="2191" applyFont="1" applyFill="1" applyAlignment="1">
      <alignment horizontal="center"/>
    </xf>
    <xf numFmtId="0" fontId="97" fillId="61" borderId="0" xfId="2191" applyFont="1" applyFill="1" applyBorder="1" applyAlignment="1">
      <alignment horizontal="right"/>
    </xf>
    <xf numFmtId="37" fontId="212" fillId="61" borderId="66" xfId="2191" applyNumberFormat="1" applyFont="1" applyFill="1" applyBorder="1"/>
    <xf numFmtId="37" fontId="299" fillId="61" borderId="0" xfId="2191" applyNumberFormat="1" applyFont="1" applyFill="1"/>
    <xf numFmtId="166" fontId="212" fillId="61" borderId="66" xfId="2191" applyNumberFormat="1" applyFont="1" applyFill="1" applyBorder="1" applyAlignment="1">
      <alignment horizontal="center"/>
    </xf>
    <xf numFmtId="0" fontId="212" fillId="61" borderId="77" xfId="2191" applyFont="1" applyFill="1" applyBorder="1" applyAlignment="1">
      <alignment horizontal="center"/>
    </xf>
    <xf numFmtId="10" fontId="212" fillId="61" borderId="47" xfId="2191" applyNumberFormat="1" applyFont="1" applyFill="1" applyBorder="1" applyAlignment="1">
      <alignment horizontal="center"/>
    </xf>
    <xf numFmtId="5" fontId="212" fillId="61" borderId="0" xfId="2191" applyNumberFormat="1" applyFont="1" applyFill="1" applyAlignment="1">
      <alignment horizontal="center"/>
    </xf>
    <xf numFmtId="166" fontId="212" fillId="61" borderId="0" xfId="2191" applyNumberFormat="1" applyFont="1" applyFill="1"/>
    <xf numFmtId="170" fontId="212" fillId="61" borderId="0" xfId="2191" applyNumberFormat="1" applyFont="1" applyFill="1"/>
    <xf numFmtId="0" fontId="212" fillId="61" borderId="47" xfId="2191" applyFont="1" applyFill="1" applyBorder="1" applyAlignment="1">
      <alignment horizontal="center"/>
    </xf>
    <xf numFmtId="10" fontId="299" fillId="61" borderId="47" xfId="2191" applyNumberFormat="1" applyFont="1" applyFill="1" applyBorder="1" applyAlignment="1">
      <alignment horizontal="center"/>
    </xf>
    <xf numFmtId="37" fontId="212" fillId="61" borderId="0" xfId="2191" applyNumberFormat="1" applyFont="1" applyFill="1" applyAlignment="1">
      <alignment horizontal="center"/>
    </xf>
    <xf numFmtId="37" fontId="212" fillId="61" borderId="0" xfId="2191" applyNumberFormat="1" applyFont="1" applyFill="1" applyBorder="1"/>
    <xf numFmtId="37" fontId="212" fillId="0" borderId="66" xfId="2191" applyNumberFormat="1" applyFont="1" applyFill="1" applyBorder="1"/>
    <xf numFmtId="166" fontId="212" fillId="61" borderId="0" xfId="2191" applyNumberFormat="1" applyFont="1" applyFill="1" applyBorder="1"/>
    <xf numFmtId="10" fontId="299" fillId="61" borderId="6" xfId="2191" applyNumberFormat="1" applyFont="1" applyFill="1" applyBorder="1" applyAlignment="1">
      <alignment horizontal="center"/>
    </xf>
    <xf numFmtId="0" fontId="97" fillId="61" borderId="0" xfId="2191" applyFont="1" applyFill="1" applyAlignment="1">
      <alignment horizontal="right"/>
    </xf>
    <xf numFmtId="166" fontId="97" fillId="61" borderId="0" xfId="2191" applyNumberFormat="1" applyFont="1" applyFill="1" applyBorder="1" applyAlignment="1">
      <alignment horizontal="center"/>
    </xf>
    <xf numFmtId="37" fontId="97" fillId="61" borderId="0" xfId="2191" applyNumberFormat="1" applyFont="1" applyFill="1"/>
    <xf numFmtId="0" fontId="97" fillId="61" borderId="0" xfId="2191" applyFont="1" applyFill="1" applyBorder="1" applyAlignment="1"/>
    <xf numFmtId="0" fontId="212" fillId="61" borderId="0" xfId="2191" applyFont="1" applyFill="1" applyBorder="1" applyAlignment="1"/>
    <xf numFmtId="166" fontId="97" fillId="61" borderId="0" xfId="2191" applyNumberFormat="1" applyFont="1" applyFill="1" applyBorder="1" applyAlignment="1"/>
    <xf numFmtId="5" fontId="212" fillId="61" borderId="84" xfId="2191" applyNumberFormat="1" applyFont="1" applyFill="1" applyBorder="1"/>
    <xf numFmtId="0" fontId="299" fillId="61" borderId="0" xfId="2191" applyFont="1" applyFill="1"/>
    <xf numFmtId="0" fontId="299" fillId="61" borderId="0" xfId="2191" applyFont="1" applyFill="1" applyAlignment="1">
      <alignment horizontal="right"/>
    </xf>
    <xf numFmtId="170" fontId="299" fillId="61" borderId="0" xfId="2191" applyNumberFormat="1" applyFont="1" applyFill="1"/>
    <xf numFmtId="0" fontId="299" fillId="61" borderId="0" xfId="703" applyNumberFormat="1" applyFont="1" applyFill="1"/>
    <xf numFmtId="172" fontId="299" fillId="61" borderId="0" xfId="2191" applyNumberFormat="1" applyFont="1" applyFill="1"/>
    <xf numFmtId="0" fontId="302" fillId="61" borderId="0" xfId="2191" applyFont="1" applyFill="1" applyBorder="1" applyAlignment="1">
      <alignment horizontal="right"/>
    </xf>
    <xf numFmtId="0" fontId="303" fillId="61" borderId="80" xfId="0" applyNumberFormat="1" applyFont="1" applyFill="1" applyBorder="1"/>
    <xf numFmtId="0" fontId="12" fillId="61" borderId="81" xfId="0" applyNumberFormat="1" applyFont="1" applyFill="1" applyBorder="1"/>
    <xf numFmtId="172" fontId="212" fillId="61" borderId="0" xfId="2191" applyNumberFormat="1" applyFont="1" applyFill="1"/>
    <xf numFmtId="0" fontId="12" fillId="61" borderId="22" xfId="0" applyNumberFormat="1" applyFont="1" applyFill="1" applyBorder="1"/>
    <xf numFmtId="0" fontId="12" fillId="61" borderId="64" xfId="0" applyNumberFormat="1" applyFont="1" applyFill="1" applyBorder="1"/>
    <xf numFmtId="0" fontId="212" fillId="61" borderId="0" xfId="703" applyNumberFormat="1" applyFont="1" applyFill="1"/>
    <xf numFmtId="0" fontId="212" fillId="61" borderId="0" xfId="2191" quotePrefix="1" applyFont="1" applyFill="1" applyAlignment="1">
      <alignment horizontal="right"/>
    </xf>
    <xf numFmtId="170" fontId="212" fillId="61" borderId="0" xfId="2191" applyNumberFormat="1" applyFont="1" applyFill="1" applyAlignment="1">
      <alignment horizontal="left"/>
    </xf>
    <xf numFmtId="169" fontId="12" fillId="61" borderId="64" xfId="741" applyNumberFormat="1" applyFont="1" applyFill="1" applyBorder="1"/>
    <xf numFmtId="0" fontId="12" fillId="61" borderId="53" xfId="0" applyNumberFormat="1" applyFont="1" applyFill="1" applyBorder="1"/>
    <xf numFmtId="169" fontId="304" fillId="61" borderId="54" xfId="741" applyNumberFormat="1" applyFont="1" applyFill="1" applyBorder="1"/>
    <xf numFmtId="169" fontId="28" fillId="61" borderId="80" xfId="741" applyNumberFormat="1" applyFont="1" applyFill="1" applyBorder="1" applyAlignment="1">
      <alignment horizontal="left"/>
    </xf>
    <xf numFmtId="0" fontId="250" fillId="61" borderId="81" xfId="0" applyNumberFormat="1" applyFont="1" applyFill="1" applyBorder="1"/>
    <xf numFmtId="0" fontId="250" fillId="61" borderId="22" xfId="0" applyNumberFormat="1" applyFont="1" applyFill="1" applyBorder="1"/>
    <xf numFmtId="3" fontId="12" fillId="61" borderId="64" xfId="0" applyNumberFormat="1" applyFont="1" applyFill="1" applyBorder="1" applyAlignment="1"/>
    <xf numFmtId="169" fontId="12" fillId="61" borderId="22" xfId="741" applyNumberFormat="1" applyFont="1" applyFill="1" applyBorder="1" applyAlignment="1">
      <alignment horizontal="left"/>
    </xf>
    <xf numFmtId="37" fontId="12" fillId="61" borderId="64" xfId="0" applyNumberFormat="1" applyFont="1" applyFill="1" applyBorder="1"/>
    <xf numFmtId="169" fontId="12" fillId="61" borderId="64" xfId="0" applyNumberFormat="1" applyFont="1" applyFill="1" applyBorder="1"/>
    <xf numFmtId="169" fontId="28" fillId="61" borderId="53" xfId="741" applyNumberFormat="1" applyFont="1" applyFill="1" applyBorder="1" applyAlignment="1">
      <alignment horizontal="left"/>
    </xf>
    <xf numFmtId="37" fontId="28" fillId="61" borderId="54" xfId="0" applyNumberFormat="1" applyFont="1" applyFill="1" applyBorder="1"/>
    <xf numFmtId="169" fontId="28" fillId="61" borderId="0" xfId="741" applyNumberFormat="1" applyFont="1" applyFill="1" applyBorder="1" applyAlignment="1">
      <alignment horizontal="left"/>
    </xf>
    <xf numFmtId="0" fontId="250" fillId="61" borderId="0" xfId="0" applyNumberFormat="1" applyFont="1" applyFill="1" applyBorder="1"/>
    <xf numFmtId="3" fontId="12" fillId="61" borderId="0" xfId="0" applyNumberFormat="1" applyFont="1" applyFill="1" applyBorder="1" applyAlignment="1"/>
    <xf numFmtId="0" fontId="12" fillId="61" borderId="0" xfId="0" applyNumberFormat="1" applyFont="1" applyFill="1" applyBorder="1"/>
    <xf numFmtId="37" fontId="12" fillId="61" borderId="0" xfId="0" applyNumberFormat="1" applyFont="1" applyFill="1" applyBorder="1"/>
    <xf numFmtId="169" fontId="12" fillId="61" borderId="0" xfId="741" applyNumberFormat="1" applyFont="1" applyFill="1" applyBorder="1" applyAlignment="1">
      <alignment horizontal="left"/>
    </xf>
    <xf numFmtId="169" fontId="12" fillId="61" borderId="0" xfId="741" applyNumberFormat="1" applyFont="1" applyFill="1" applyBorder="1"/>
    <xf numFmtId="169" fontId="12" fillId="61" borderId="0" xfId="0" applyNumberFormat="1" applyFont="1" applyFill="1" applyBorder="1"/>
    <xf numFmtId="37" fontId="28" fillId="61" borderId="0" xfId="0" applyNumberFormat="1" applyFont="1" applyFill="1" applyBorder="1"/>
    <xf numFmtId="0" fontId="212" fillId="0" borderId="0" xfId="0" applyNumberFormat="1" applyFont="1" applyFill="1" applyBorder="1"/>
    <xf numFmtId="168" fontId="212" fillId="61" borderId="0" xfId="0" applyNumberFormat="1" applyFont="1" applyFill="1"/>
    <xf numFmtId="166" fontId="212" fillId="61" borderId="0" xfId="0" applyNumberFormat="1" applyFont="1" applyFill="1" applyAlignment="1">
      <alignment horizontal="center"/>
    </xf>
    <xf numFmtId="166" fontId="301" fillId="61" borderId="0" xfId="0" applyNumberFormat="1" applyFont="1" applyFill="1" applyBorder="1"/>
    <xf numFmtId="0" fontId="301" fillId="61" borderId="0" xfId="0" applyNumberFormat="1" applyFont="1" applyFill="1"/>
    <xf numFmtId="166" fontId="301" fillId="61" borderId="0" xfId="0" applyNumberFormat="1" applyFont="1" applyFill="1"/>
    <xf numFmtId="0" fontId="301" fillId="61" borderId="0" xfId="0" applyNumberFormat="1" applyFont="1" applyFill="1" applyAlignment="1">
      <alignment horizontal="center"/>
    </xf>
    <xf numFmtId="357" fontId="212" fillId="61" borderId="0" xfId="0" applyNumberFormat="1" applyFont="1" applyFill="1" applyBorder="1"/>
    <xf numFmtId="0" fontId="97" fillId="61" borderId="24" xfId="0" applyNumberFormat="1" applyFont="1" applyFill="1" applyBorder="1"/>
    <xf numFmtId="0" fontId="299" fillId="61" borderId="0" xfId="0" applyNumberFormat="1" applyFont="1" applyFill="1" applyBorder="1"/>
    <xf numFmtId="0" fontId="27" fillId="61" borderId="0" xfId="0" applyNumberFormat="1" applyFont="1" applyFill="1" applyBorder="1" applyAlignment="1">
      <alignment horizontal="centerContinuous"/>
    </xf>
    <xf numFmtId="1" fontId="97" fillId="61" borderId="0" xfId="0" applyNumberFormat="1" applyFont="1" applyFill="1" applyBorder="1" applyAlignment="1">
      <alignment horizontal="center"/>
    </xf>
    <xf numFmtId="1" fontId="97" fillId="61" borderId="82" xfId="0" applyNumberFormat="1" applyFont="1" applyFill="1" applyBorder="1" applyAlignment="1">
      <alignment horizontal="center"/>
    </xf>
    <xf numFmtId="1" fontId="97" fillId="61" borderId="72" xfId="0" applyNumberFormat="1" applyFont="1" applyFill="1" applyBorder="1" applyAlignment="1">
      <alignment horizontal="center"/>
    </xf>
    <xf numFmtId="1" fontId="97" fillId="61" borderId="78" xfId="0" applyNumberFormat="1" applyFont="1" applyFill="1" applyBorder="1" applyAlignment="1">
      <alignment horizontal="center"/>
    </xf>
    <xf numFmtId="1" fontId="97" fillId="61" borderId="74" xfId="0" applyNumberFormat="1" applyFont="1" applyFill="1" applyBorder="1" applyAlignment="1">
      <alignment horizontal="center"/>
    </xf>
    <xf numFmtId="1" fontId="97" fillId="0" borderId="0" xfId="0" applyNumberFormat="1" applyFont="1" applyFill="1" applyBorder="1" applyAlignment="1">
      <alignment horizontal="center"/>
    </xf>
    <xf numFmtId="5" fontId="301" fillId="61" borderId="0" xfId="0" applyNumberFormat="1" applyFont="1" applyFill="1" applyBorder="1"/>
    <xf numFmtId="169" fontId="301" fillId="61" borderId="0" xfId="741" applyNumberFormat="1" applyFont="1" applyFill="1"/>
    <xf numFmtId="169" fontId="212" fillId="61" borderId="0" xfId="0" applyNumberFormat="1" applyFont="1" applyFill="1" applyAlignment="1">
      <alignment horizontal="center"/>
    </xf>
    <xf numFmtId="168" fontId="212" fillId="61" borderId="0" xfId="0" applyNumberFormat="1" applyFont="1" applyFill="1" applyBorder="1"/>
    <xf numFmtId="0" fontId="97" fillId="61" borderId="52" xfId="0" applyNumberFormat="1" applyFont="1" applyFill="1" applyBorder="1"/>
    <xf numFmtId="0" fontId="212" fillId="61" borderId="24" xfId="0" applyNumberFormat="1" applyFont="1" applyFill="1" applyBorder="1"/>
    <xf numFmtId="5" fontId="97" fillId="0" borderId="55" xfId="0" applyNumberFormat="1" applyFont="1" applyBorder="1"/>
    <xf numFmtId="5" fontId="97" fillId="0" borderId="0" xfId="0" applyNumberFormat="1" applyFont="1" applyBorder="1"/>
    <xf numFmtId="172" fontId="299" fillId="61" borderId="0" xfId="0" applyNumberFormat="1" applyFont="1" applyFill="1" applyBorder="1"/>
    <xf numFmtId="338" fontId="300" fillId="0" borderId="25" xfId="0" applyFont="1" applyFill="1" applyBorder="1" applyAlignment="1">
      <alignment horizontal="left"/>
    </xf>
    <xf numFmtId="338" fontId="300" fillId="0" borderId="33" xfId="0" applyFont="1" applyFill="1" applyBorder="1" applyAlignment="1">
      <alignment horizontal="left"/>
    </xf>
    <xf numFmtId="338" fontId="300" fillId="0" borderId="73" xfId="0" applyFont="1" applyFill="1" applyBorder="1" applyAlignment="1">
      <alignment horizontal="left"/>
    </xf>
    <xf numFmtId="338" fontId="300" fillId="0" borderId="74" xfId="0" applyFont="1" applyFill="1" applyBorder="1" applyAlignment="1">
      <alignment horizontal="left"/>
    </xf>
    <xf numFmtId="14" fontId="300" fillId="0" borderId="25" xfId="0" applyNumberFormat="1" applyFont="1" applyFill="1" applyBorder="1" applyAlignment="1">
      <alignment horizontal="left"/>
    </xf>
    <xf numFmtId="14" fontId="300" fillId="0" borderId="33" xfId="0" applyNumberFormat="1" applyFont="1" applyFill="1" applyBorder="1" applyAlignment="1">
      <alignment horizontal="left"/>
    </xf>
    <xf numFmtId="168" fontId="300" fillId="0" borderId="25" xfId="0" applyNumberFormat="1" applyFont="1" applyFill="1" applyBorder="1" applyAlignment="1">
      <alignment horizontal="left"/>
    </xf>
    <xf numFmtId="168" fontId="300" fillId="0" borderId="33" xfId="0" applyNumberFormat="1" applyFont="1" applyFill="1" applyBorder="1" applyAlignment="1">
      <alignment horizontal="left"/>
    </xf>
    <xf numFmtId="14" fontId="300" fillId="0" borderId="78" xfId="0" applyNumberFormat="1" applyFont="1" applyFill="1" applyBorder="1" applyAlignment="1">
      <alignment horizontal="left"/>
    </xf>
    <xf numFmtId="14" fontId="300" fillId="0" borderId="74" xfId="0" applyNumberFormat="1" applyFont="1" applyFill="1" applyBorder="1" applyAlignment="1">
      <alignment horizontal="left"/>
    </xf>
    <xf numFmtId="14" fontId="233" fillId="0" borderId="25" xfId="0" applyNumberFormat="1" applyFont="1" applyFill="1" applyBorder="1" applyAlignment="1">
      <alignment horizontal="left"/>
    </xf>
    <xf numFmtId="14" fontId="233" fillId="0" borderId="33" xfId="0" applyNumberFormat="1" applyFont="1" applyFill="1" applyBorder="1" applyAlignment="1">
      <alignment horizontal="left"/>
    </xf>
    <xf numFmtId="166" fontId="300" fillId="0" borderId="25" xfId="0" applyNumberFormat="1" applyFont="1" applyFill="1" applyBorder="1" applyAlignment="1">
      <alignment horizontal="left"/>
    </xf>
    <xf numFmtId="166" fontId="300" fillId="0" borderId="33" xfId="0" applyNumberFormat="1" applyFont="1" applyFill="1" applyBorder="1" applyAlignment="1">
      <alignment horizontal="left"/>
    </xf>
    <xf numFmtId="166" fontId="300" fillId="0" borderId="69" xfId="0" applyNumberFormat="1" applyFont="1" applyFill="1" applyBorder="1" applyAlignment="1">
      <alignment horizontal="left"/>
    </xf>
    <xf numFmtId="166" fontId="300" fillId="0" borderId="70" xfId="0" applyNumberFormat="1" applyFont="1" applyFill="1" applyBorder="1" applyAlignment="1">
      <alignment horizontal="left"/>
    </xf>
    <xf numFmtId="166" fontId="300" fillId="0" borderId="73" xfId="0" applyNumberFormat="1" applyFont="1" applyFill="1" applyBorder="1" applyAlignment="1">
      <alignment horizontal="left"/>
    </xf>
    <xf numFmtId="166" fontId="300" fillId="0" borderId="74" xfId="0" applyNumberFormat="1" applyFont="1" applyFill="1" applyBorder="1" applyAlignment="1">
      <alignment horizontal="left"/>
    </xf>
    <xf numFmtId="166" fontId="300" fillId="0" borderId="83" xfId="0" applyNumberFormat="1" applyFont="1" applyFill="1" applyBorder="1" applyAlignment="1">
      <alignment horizontal="left"/>
    </xf>
    <xf numFmtId="1" fontId="300" fillId="0" borderId="0" xfId="0" applyNumberFormat="1" applyFont="1" applyFill="1" applyBorder="1" applyAlignment="1">
      <alignment horizontal="left"/>
    </xf>
    <xf numFmtId="166" fontId="300" fillId="0" borderId="78" xfId="0" applyNumberFormat="1" applyFont="1" applyFill="1" applyBorder="1" applyAlignment="1">
      <alignment horizontal="left"/>
    </xf>
    <xf numFmtId="166" fontId="300" fillId="0" borderId="54" xfId="0" applyNumberFormat="1" applyFont="1" applyFill="1" applyBorder="1" applyAlignment="1">
      <alignment horizontal="left"/>
    </xf>
    <xf numFmtId="338" fontId="305" fillId="61" borderId="0" xfId="0" applyFont="1" applyFill="1"/>
    <xf numFmtId="173" fontId="298" fillId="61" borderId="0" xfId="343" applyNumberFormat="1" applyFont="1" applyFill="1" applyAlignment="1">
      <alignment horizontal="center"/>
    </xf>
    <xf numFmtId="10" fontId="212" fillId="61" borderId="0" xfId="0" applyNumberFormat="1" applyFont="1" applyFill="1" applyAlignment="1">
      <alignment horizontal="center"/>
    </xf>
    <xf numFmtId="0" fontId="299" fillId="61" borderId="0" xfId="0" applyNumberFormat="1" applyFont="1" applyFill="1" applyBorder="1" applyAlignment="1">
      <alignment horizontal="left"/>
    </xf>
    <xf numFmtId="49" fontId="212" fillId="61" borderId="0" xfId="0" applyNumberFormat="1" applyFont="1" applyFill="1" applyAlignment="1">
      <alignment horizontal="center"/>
    </xf>
    <xf numFmtId="338" fontId="212" fillId="81" borderId="0" xfId="0" applyFont="1" applyFill="1"/>
    <xf numFmtId="10" fontId="12" fillId="0" borderId="0" xfId="0" applyNumberFormat="1" applyFont="1" applyBorder="1"/>
    <xf numFmtId="173" fontId="212" fillId="61" borderId="0" xfId="343" applyNumberFormat="1" applyFont="1" applyFill="1" applyBorder="1"/>
    <xf numFmtId="0" fontId="212" fillId="61" borderId="0" xfId="343" applyNumberFormat="1" applyFont="1" applyFill="1" applyBorder="1" applyAlignment="1">
      <alignment horizontal="left"/>
    </xf>
    <xf numFmtId="338" fontId="12" fillId="0" borderId="0" xfId="0" applyFont="1" applyBorder="1"/>
    <xf numFmtId="9" fontId="212" fillId="61" borderId="0" xfId="741" applyFont="1" applyFill="1"/>
    <xf numFmtId="338" fontId="97" fillId="61" borderId="0" xfId="0" applyFont="1" applyFill="1" applyBorder="1" applyAlignment="1">
      <alignment wrapText="1"/>
    </xf>
    <xf numFmtId="10" fontId="212" fillId="61" borderId="0" xfId="741" applyNumberFormat="1" applyFont="1" applyFill="1" applyBorder="1"/>
    <xf numFmtId="10" fontId="212" fillId="61" borderId="0" xfId="343" applyNumberFormat="1" applyFont="1" applyFill="1" applyBorder="1"/>
    <xf numFmtId="43" fontId="97" fillId="61" borderId="79" xfId="343" applyFont="1" applyFill="1" applyBorder="1"/>
    <xf numFmtId="338" fontId="302" fillId="0" borderId="8" xfId="0" applyFont="1" applyFill="1" applyBorder="1" applyAlignment="1">
      <alignment horizontal="left"/>
    </xf>
    <xf numFmtId="338" fontId="302" fillId="0" borderId="25" xfId="0" applyFont="1" applyFill="1" applyBorder="1" applyAlignment="1">
      <alignment horizontal="left"/>
    </xf>
    <xf numFmtId="338" fontId="302" fillId="0" borderId="72" xfId="0" applyFont="1" applyFill="1" applyBorder="1" applyAlignment="1">
      <alignment horizontal="left"/>
    </xf>
    <xf numFmtId="338" fontId="302" fillId="0" borderId="73" xfId="0" applyFont="1" applyFill="1" applyBorder="1" applyAlignment="1">
      <alignment horizontal="left"/>
    </xf>
    <xf numFmtId="14" fontId="302" fillId="0" borderId="8" xfId="0" applyNumberFormat="1" applyFont="1" applyFill="1" applyBorder="1" applyAlignment="1">
      <alignment horizontal="left"/>
    </xf>
    <xf numFmtId="14" fontId="302" fillId="0" borderId="25" xfId="0" applyNumberFormat="1" applyFont="1" applyFill="1" applyBorder="1" applyAlignment="1">
      <alignment horizontal="left"/>
    </xf>
    <xf numFmtId="168" fontId="302" fillId="0" borderId="8" xfId="0" applyNumberFormat="1" applyFont="1" applyFill="1" applyBorder="1" applyAlignment="1">
      <alignment horizontal="left"/>
    </xf>
    <xf numFmtId="168" fontId="302" fillId="0" borderId="25" xfId="0" applyNumberFormat="1" applyFont="1" applyFill="1" applyBorder="1" applyAlignment="1">
      <alignment horizontal="left"/>
    </xf>
    <xf numFmtId="14" fontId="302" fillId="0" borderId="72" xfId="0" applyNumberFormat="1" applyFont="1" applyFill="1" applyBorder="1" applyAlignment="1">
      <alignment horizontal="left"/>
    </xf>
    <xf numFmtId="14" fontId="302" fillId="0" borderId="78" xfId="0" applyNumberFormat="1" applyFont="1" applyFill="1" applyBorder="1" applyAlignment="1">
      <alignment horizontal="left"/>
    </xf>
    <xf numFmtId="166" fontId="302" fillId="0" borderId="8" xfId="0" applyNumberFormat="1" applyFont="1" applyFill="1" applyBorder="1" applyAlignment="1">
      <alignment horizontal="left"/>
    </xf>
    <xf numFmtId="166" fontId="302" fillId="0" borderId="25" xfId="0" applyNumberFormat="1" applyFont="1" applyFill="1" applyBorder="1" applyAlignment="1">
      <alignment horizontal="left"/>
    </xf>
    <xf numFmtId="170" fontId="302" fillId="0" borderId="68" xfId="0" applyNumberFormat="1" applyFont="1" applyFill="1" applyBorder="1" applyAlignment="1">
      <alignment horizontal="left"/>
    </xf>
    <xf numFmtId="166" fontId="302" fillId="0" borderId="69" xfId="0" applyNumberFormat="1" applyFont="1" applyFill="1" applyBorder="1" applyAlignment="1">
      <alignment horizontal="left"/>
    </xf>
    <xf numFmtId="1" fontId="302" fillId="0" borderId="8" xfId="0" applyNumberFormat="1" applyFont="1" applyFill="1" applyBorder="1" applyAlignment="1">
      <alignment horizontal="left"/>
    </xf>
    <xf numFmtId="166" fontId="302" fillId="0" borderId="73" xfId="0" applyNumberFormat="1" applyFont="1" applyFill="1" applyBorder="1" applyAlignment="1">
      <alignment horizontal="left"/>
    </xf>
    <xf numFmtId="166" fontId="302" fillId="0" borderId="83" xfId="0" applyNumberFormat="1" applyFont="1" applyFill="1" applyBorder="1" applyAlignment="1">
      <alignment horizontal="left"/>
    </xf>
    <xf numFmtId="10" fontId="302" fillId="0" borderId="72" xfId="741" applyNumberFormat="1" applyFont="1" applyFill="1" applyBorder="1" applyAlignment="1">
      <alignment horizontal="left"/>
    </xf>
    <xf numFmtId="166" fontId="302" fillId="0" borderId="78" xfId="0" applyNumberFormat="1" applyFont="1" applyFill="1" applyBorder="1" applyAlignment="1">
      <alignment horizontal="left"/>
    </xf>
    <xf numFmtId="338" fontId="306" fillId="61" borderId="0" xfId="0" applyFont="1" applyFill="1"/>
    <xf numFmtId="215" fontId="306" fillId="61" borderId="0" xfId="0" applyNumberFormat="1" applyFont="1" applyFill="1"/>
    <xf numFmtId="338" fontId="307" fillId="0" borderId="72" xfId="0" applyFont="1" applyFill="1" applyBorder="1" applyAlignment="1">
      <alignment wrapText="1"/>
    </xf>
    <xf numFmtId="338" fontId="307" fillId="0" borderId="78" xfId="0" applyFont="1" applyFill="1" applyBorder="1" applyAlignment="1">
      <alignment wrapText="1"/>
    </xf>
    <xf numFmtId="338" fontId="307" fillId="0" borderId="78" xfId="0" applyFont="1" applyFill="1" applyBorder="1" applyAlignment="1">
      <alignment horizontal="center" wrapText="1"/>
    </xf>
    <xf numFmtId="338" fontId="307" fillId="0" borderId="74" xfId="0" applyFont="1" applyFill="1" applyBorder="1" applyAlignment="1">
      <alignment horizontal="center" wrapText="1"/>
    </xf>
    <xf numFmtId="338" fontId="308" fillId="61" borderId="0" xfId="0" applyFont="1" applyFill="1" applyBorder="1"/>
    <xf numFmtId="44" fontId="306" fillId="61" borderId="0" xfId="402" applyFont="1" applyFill="1" applyBorder="1"/>
    <xf numFmtId="7" fontId="306" fillId="61" borderId="0" xfId="689" applyNumberFormat="1" applyFont="1" applyFill="1" applyBorder="1"/>
    <xf numFmtId="37" fontId="306" fillId="0" borderId="0" xfId="0" applyNumberFormat="1" applyFont="1" applyBorder="1"/>
    <xf numFmtId="5" fontId="306" fillId="61" borderId="0" xfId="689" applyNumberFormat="1" applyFont="1" applyFill="1" applyBorder="1"/>
    <xf numFmtId="170" fontId="306" fillId="61" borderId="0" xfId="0" applyNumberFormat="1" applyFont="1" applyFill="1" applyBorder="1"/>
    <xf numFmtId="166" fontId="306" fillId="0" borderId="0" xfId="0" applyNumberFormat="1" applyFont="1" applyFill="1" applyBorder="1"/>
    <xf numFmtId="39" fontId="308" fillId="61" borderId="0" xfId="0" applyNumberFormat="1" applyFont="1" applyFill="1" applyBorder="1" applyAlignment="1">
      <alignment horizontal="right"/>
    </xf>
    <xf numFmtId="39" fontId="306" fillId="61" borderId="0" xfId="0" applyNumberFormat="1" applyFont="1" applyFill="1" applyBorder="1" applyAlignment="1">
      <alignment horizontal="right"/>
    </xf>
    <xf numFmtId="39" fontId="306" fillId="61" borderId="0" xfId="689" applyNumberFormat="1" applyFont="1" applyFill="1" applyBorder="1"/>
    <xf numFmtId="37" fontId="306" fillId="61" borderId="0" xfId="1156" applyNumberFormat="1" applyFont="1" applyFill="1" applyBorder="1"/>
    <xf numFmtId="37" fontId="306" fillId="61" borderId="0" xfId="0" applyNumberFormat="1" applyFont="1" applyFill="1" applyBorder="1"/>
    <xf numFmtId="338" fontId="306" fillId="61" borderId="0" xfId="0" applyFont="1" applyFill="1" applyBorder="1"/>
    <xf numFmtId="338" fontId="306" fillId="61" borderId="80" xfId="0" applyFont="1" applyFill="1" applyBorder="1" applyAlignment="1">
      <alignment horizontal="right"/>
    </xf>
    <xf numFmtId="170" fontId="306" fillId="61" borderId="79" xfId="0" applyNumberFormat="1" applyFont="1" applyFill="1" applyBorder="1"/>
    <xf numFmtId="39" fontId="306" fillId="61" borderId="79" xfId="0" applyNumberFormat="1" applyFont="1" applyFill="1" applyBorder="1"/>
    <xf numFmtId="39" fontId="306" fillId="61" borderId="81" xfId="0" applyNumberFormat="1" applyFont="1" applyFill="1" applyBorder="1"/>
    <xf numFmtId="338" fontId="306" fillId="61" borderId="59" xfId="0" applyFont="1" applyFill="1" applyBorder="1" applyAlignment="1">
      <alignment horizontal="right"/>
    </xf>
    <xf numFmtId="39" fontId="306" fillId="61" borderId="0" xfId="0" applyNumberFormat="1" applyFont="1" applyFill="1" applyBorder="1"/>
    <xf numFmtId="39" fontId="306" fillId="61" borderId="64" xfId="0" applyNumberFormat="1" applyFont="1" applyFill="1" applyBorder="1"/>
    <xf numFmtId="338" fontId="307" fillId="61" borderId="53" xfId="0" applyFont="1" applyFill="1" applyBorder="1" applyAlignment="1">
      <alignment horizontal="right"/>
    </xf>
    <xf numFmtId="170" fontId="310" fillId="61" borderId="83" xfId="0" applyNumberFormat="1" applyFont="1" applyFill="1" applyBorder="1"/>
    <xf numFmtId="170" fontId="307" fillId="61" borderId="83" xfId="0" applyNumberFormat="1" applyFont="1" applyFill="1" applyBorder="1"/>
    <xf numFmtId="166" fontId="307" fillId="61" borderId="83" xfId="0" applyNumberFormat="1" applyFont="1" applyFill="1" applyBorder="1"/>
    <xf numFmtId="39" fontId="307" fillId="61" borderId="83" xfId="0" applyNumberFormat="1" applyFont="1" applyFill="1" applyBorder="1" applyAlignment="1">
      <alignment horizontal="right"/>
    </xf>
    <xf numFmtId="338" fontId="307" fillId="61" borderId="0" xfId="0" applyFont="1" applyFill="1"/>
    <xf numFmtId="43" fontId="306" fillId="61" borderId="0" xfId="343" applyFont="1" applyFill="1" applyBorder="1"/>
    <xf numFmtId="39" fontId="306" fillId="61" borderId="0" xfId="0" applyNumberFormat="1" applyFont="1" applyFill="1"/>
    <xf numFmtId="170" fontId="306" fillId="61" borderId="0" xfId="0" applyNumberFormat="1" applyFont="1" applyFill="1"/>
    <xf numFmtId="170" fontId="308" fillId="0" borderId="0" xfId="0" applyNumberFormat="1" applyFont="1" applyFill="1"/>
    <xf numFmtId="170" fontId="307" fillId="61" borderId="84" xfId="0" applyNumberFormat="1" applyFont="1" applyFill="1" applyBorder="1"/>
    <xf numFmtId="170" fontId="308" fillId="61" borderId="0" xfId="0" applyNumberFormat="1" applyFont="1" applyFill="1"/>
    <xf numFmtId="170" fontId="307" fillId="61" borderId="0" xfId="0" applyNumberFormat="1" applyFont="1" applyFill="1" applyBorder="1"/>
    <xf numFmtId="338" fontId="306" fillId="61" borderId="0" xfId="0" applyFont="1" applyFill="1" applyBorder="1" applyAlignment="1">
      <alignment horizontal="center"/>
    </xf>
    <xf numFmtId="39" fontId="307" fillId="61" borderId="84" xfId="0" applyNumberFormat="1" applyFont="1" applyFill="1" applyBorder="1"/>
    <xf numFmtId="338" fontId="306" fillId="61" borderId="83" xfId="0" applyFont="1" applyFill="1" applyBorder="1" applyAlignment="1">
      <alignment horizontal="center"/>
    </xf>
    <xf numFmtId="338" fontId="306" fillId="61" borderId="0" xfId="0" applyFont="1" applyFill="1" applyAlignment="1">
      <alignment horizontal="right"/>
    </xf>
    <xf numFmtId="10" fontId="306" fillId="61" borderId="0" xfId="741" applyNumberFormat="1" applyFont="1" applyFill="1"/>
    <xf numFmtId="10" fontId="306" fillId="61" borderId="0" xfId="0" applyNumberFormat="1" applyFont="1" applyFill="1"/>
    <xf numFmtId="166" fontId="307" fillId="61" borderId="0" xfId="0" applyNumberFormat="1" applyFont="1" applyFill="1" applyBorder="1"/>
    <xf numFmtId="10" fontId="307" fillId="61" borderId="84" xfId="0" applyNumberFormat="1" applyFont="1" applyFill="1" applyBorder="1"/>
    <xf numFmtId="0" fontId="306" fillId="0" borderId="13" xfId="0" applyNumberFormat="1" applyFont="1" applyFill="1" applyBorder="1"/>
    <xf numFmtId="169" fontId="306" fillId="0" borderId="13" xfId="0" applyNumberFormat="1" applyFont="1" applyFill="1" applyBorder="1" applyProtection="1"/>
    <xf numFmtId="0" fontId="306" fillId="0" borderId="0" xfId="0" applyNumberFormat="1" applyFont="1" applyFill="1" applyBorder="1"/>
    <xf numFmtId="0" fontId="306" fillId="24" borderId="0" xfId="0" applyNumberFormat="1" applyFont="1" applyFill="1" applyBorder="1"/>
    <xf numFmtId="0" fontId="306" fillId="0" borderId="0" xfId="0" applyNumberFormat="1" applyFont="1" applyBorder="1"/>
    <xf numFmtId="0" fontId="306" fillId="0" borderId="0" xfId="0" applyNumberFormat="1" applyFont="1"/>
    <xf numFmtId="172" fontId="308" fillId="61" borderId="0" xfId="0" applyNumberFormat="1" applyFont="1" applyFill="1"/>
    <xf numFmtId="338" fontId="307" fillId="61" borderId="0" xfId="0" applyFont="1" applyFill="1" applyBorder="1" applyAlignment="1">
      <alignment horizontal="right"/>
    </xf>
    <xf numFmtId="338" fontId="307" fillId="61" borderId="0" xfId="0" applyFont="1" applyFill="1" applyBorder="1"/>
    <xf numFmtId="338" fontId="306" fillId="0" borderId="0" xfId="0" applyFont="1" applyFill="1"/>
    <xf numFmtId="39" fontId="310" fillId="61" borderId="54" xfId="0" applyNumberFormat="1" applyFont="1" applyFill="1" applyBorder="1"/>
    <xf numFmtId="39" fontId="308" fillId="0" borderId="0" xfId="0" applyNumberFormat="1" applyFont="1" applyFill="1"/>
    <xf numFmtId="336" fontId="306" fillId="61" borderId="0" xfId="0" applyNumberFormat="1" applyFont="1" applyFill="1"/>
    <xf numFmtId="338" fontId="314" fillId="61" borderId="0" xfId="0" applyFont="1" applyFill="1"/>
    <xf numFmtId="14" fontId="307" fillId="0" borderId="15" xfId="0" applyNumberFormat="1" applyFont="1" applyFill="1" applyBorder="1" applyAlignment="1">
      <alignment horizontal="center"/>
    </xf>
    <xf numFmtId="1" fontId="307" fillId="0" borderId="82" xfId="0" applyNumberFormat="1" applyFont="1" applyFill="1" applyBorder="1" applyAlignment="1">
      <alignment horizontal="center"/>
    </xf>
    <xf numFmtId="338" fontId="307" fillId="0" borderId="0" xfId="0" applyFont="1" applyFill="1"/>
    <xf numFmtId="1" fontId="306" fillId="0" borderId="0" xfId="0" applyNumberFormat="1" applyFont="1" applyFill="1" applyBorder="1" applyAlignment="1">
      <alignment horizontal="center"/>
    </xf>
    <xf numFmtId="1" fontId="307" fillId="0" borderId="72" xfId="0" applyNumberFormat="1" applyFont="1" applyFill="1" applyBorder="1" applyAlignment="1">
      <alignment horizontal="center"/>
    </xf>
    <xf numFmtId="1" fontId="307" fillId="0" borderId="78" xfId="0" applyNumberFormat="1" applyFont="1" applyFill="1" applyBorder="1" applyAlignment="1">
      <alignment horizontal="center"/>
    </xf>
    <xf numFmtId="1" fontId="307" fillId="0" borderId="74" xfId="0" applyNumberFormat="1" applyFont="1" applyFill="1" applyBorder="1" applyAlignment="1">
      <alignment horizontal="center"/>
    </xf>
    <xf numFmtId="355" fontId="308" fillId="61" borderId="0" xfId="0" applyNumberFormat="1" applyFont="1" applyFill="1"/>
    <xf numFmtId="3" fontId="306" fillId="61" borderId="0" xfId="0" applyNumberFormat="1" applyFont="1" applyFill="1"/>
    <xf numFmtId="355" fontId="306" fillId="61" borderId="0" xfId="0" applyNumberFormat="1" applyFont="1" applyFill="1"/>
    <xf numFmtId="338" fontId="308" fillId="61" borderId="0" xfId="0" applyFont="1" applyFill="1"/>
    <xf numFmtId="174" fontId="306" fillId="61" borderId="0" xfId="343" applyNumberFormat="1" applyFont="1" applyFill="1"/>
    <xf numFmtId="3" fontId="306" fillId="61" borderId="0" xfId="0" applyNumberFormat="1" applyFont="1" applyFill="1" applyBorder="1"/>
    <xf numFmtId="338" fontId="315" fillId="61" borderId="0" xfId="0" applyFont="1" applyFill="1"/>
    <xf numFmtId="166" fontId="315" fillId="61" borderId="0" xfId="0" applyNumberFormat="1" applyFont="1" applyFill="1" applyBorder="1" applyAlignment="1">
      <alignment horizontal="right"/>
    </xf>
    <xf numFmtId="166" fontId="316" fillId="61" borderId="0" xfId="0" applyNumberFormat="1" applyFont="1" applyFill="1" applyBorder="1" applyAlignment="1">
      <alignment horizontal="right"/>
    </xf>
    <xf numFmtId="166" fontId="317" fillId="0" borderId="0" xfId="0" applyNumberFormat="1" applyFont="1" applyFill="1" applyBorder="1" applyAlignment="1">
      <alignment horizontal="right"/>
    </xf>
    <xf numFmtId="169" fontId="306" fillId="61" borderId="0" xfId="741" applyNumberFormat="1" applyFont="1" applyFill="1" applyBorder="1"/>
    <xf numFmtId="3" fontId="308" fillId="61" borderId="0" xfId="0" applyNumberFormat="1" applyFont="1" applyFill="1" applyAlignment="1">
      <alignment horizontal="right"/>
    </xf>
    <xf numFmtId="3" fontId="308" fillId="61" borderId="0" xfId="0" applyNumberFormat="1" applyFont="1" applyFill="1"/>
    <xf numFmtId="172" fontId="306" fillId="61" borderId="0" xfId="0" applyNumberFormat="1" applyFont="1" applyFill="1" applyBorder="1"/>
    <xf numFmtId="3" fontId="306" fillId="61" borderId="66" xfId="0" applyNumberFormat="1" applyFont="1" applyFill="1" applyBorder="1"/>
    <xf numFmtId="3" fontId="306" fillId="61" borderId="79" xfId="0" applyNumberFormat="1" applyFont="1" applyFill="1" applyBorder="1"/>
    <xf numFmtId="338" fontId="315" fillId="61" borderId="0" xfId="0" applyFont="1" applyFill="1" applyAlignment="1">
      <alignment horizontal="center"/>
    </xf>
    <xf numFmtId="172" fontId="306" fillId="61" borderId="0" xfId="0" applyNumberFormat="1" applyFont="1" applyFill="1" applyAlignment="1">
      <alignment horizontal="center"/>
    </xf>
    <xf numFmtId="172" fontId="306" fillId="61" borderId="0" xfId="0" applyNumberFormat="1" applyFont="1" applyFill="1"/>
    <xf numFmtId="37" fontId="306" fillId="61" borderId="0" xfId="0" applyNumberFormat="1" applyFont="1" applyFill="1"/>
    <xf numFmtId="37" fontId="308" fillId="61" borderId="0" xfId="0" applyNumberFormat="1" applyFont="1" applyFill="1"/>
    <xf numFmtId="338" fontId="306" fillId="61" borderId="0" xfId="0" applyFont="1" applyFill="1" applyAlignment="1">
      <alignment horizontal="center"/>
    </xf>
    <xf numFmtId="37" fontId="306" fillId="61" borderId="9" xfId="0" applyNumberFormat="1" applyFont="1" applyFill="1" applyBorder="1"/>
    <xf numFmtId="37" fontId="306" fillId="61" borderId="79" xfId="0" applyNumberFormat="1" applyFont="1" applyFill="1" applyBorder="1"/>
    <xf numFmtId="166" fontId="306" fillId="61" borderId="0" xfId="0" applyNumberFormat="1" applyFont="1" applyFill="1"/>
    <xf numFmtId="338" fontId="319" fillId="61" borderId="0" xfId="0" applyFont="1" applyFill="1"/>
    <xf numFmtId="37" fontId="306" fillId="61" borderId="0" xfId="1156" applyNumberFormat="1" applyFont="1" applyFill="1"/>
    <xf numFmtId="169" fontId="306" fillId="61" borderId="0" xfId="0" applyNumberFormat="1" applyFont="1" applyFill="1"/>
    <xf numFmtId="37" fontId="306" fillId="0" borderId="0" xfId="0" applyNumberFormat="1" applyFont="1" applyFill="1"/>
    <xf numFmtId="37" fontId="306" fillId="61" borderId="66" xfId="0" applyNumberFormat="1" applyFont="1" applyFill="1" applyBorder="1"/>
    <xf numFmtId="168" fontId="306" fillId="61" borderId="0" xfId="0" applyNumberFormat="1" applyFont="1" applyFill="1"/>
    <xf numFmtId="0" fontId="307" fillId="61" borderId="61" xfId="0" applyNumberFormat="1" applyFont="1" applyFill="1" applyBorder="1"/>
    <xf numFmtId="0" fontId="306" fillId="61" borderId="60" xfId="0" applyNumberFormat="1" applyFont="1" applyFill="1" applyBorder="1"/>
    <xf numFmtId="0" fontId="306" fillId="61" borderId="66" xfId="0" applyNumberFormat="1" applyFont="1" applyFill="1" applyBorder="1"/>
    <xf numFmtId="0" fontId="306" fillId="61" borderId="62" xfId="0" applyNumberFormat="1" applyFont="1" applyFill="1" applyBorder="1"/>
    <xf numFmtId="0" fontId="306" fillId="61" borderId="59" xfId="0" applyNumberFormat="1" applyFont="1" applyFill="1" applyBorder="1"/>
    <xf numFmtId="0" fontId="306" fillId="61" borderId="0" xfId="0" applyNumberFormat="1" applyFont="1" applyFill="1" applyBorder="1"/>
    <xf numFmtId="37" fontId="306" fillId="61" borderId="64" xfId="0" applyNumberFormat="1" applyFont="1" applyFill="1" applyBorder="1"/>
    <xf numFmtId="172" fontId="307" fillId="61" borderId="0" xfId="0" applyNumberFormat="1" applyFont="1" applyFill="1" applyBorder="1"/>
    <xf numFmtId="37" fontId="307" fillId="61" borderId="9" xfId="0" applyNumberFormat="1" applyFont="1" applyFill="1" applyBorder="1"/>
    <xf numFmtId="37" fontId="307" fillId="61" borderId="0" xfId="0" applyNumberFormat="1" applyFont="1" applyFill="1" applyBorder="1"/>
    <xf numFmtId="37" fontId="306" fillId="61" borderId="62" xfId="0" applyNumberFormat="1" applyFont="1" applyFill="1" applyBorder="1"/>
    <xf numFmtId="168" fontId="306" fillId="61" borderId="64" xfId="0" applyNumberFormat="1" applyFont="1" applyFill="1" applyBorder="1"/>
    <xf numFmtId="0" fontId="306" fillId="61" borderId="53" xfId="0" applyNumberFormat="1" applyFont="1" applyFill="1" applyBorder="1"/>
    <xf numFmtId="0" fontId="306" fillId="61" borderId="13" xfId="0" applyNumberFormat="1" applyFont="1" applyFill="1" applyBorder="1"/>
    <xf numFmtId="37" fontId="306" fillId="61" borderId="63" xfId="0" applyNumberFormat="1" applyFont="1" applyFill="1" applyBorder="1"/>
    <xf numFmtId="338" fontId="306" fillId="61" borderId="79" xfId="0" applyFont="1" applyFill="1" applyBorder="1"/>
    <xf numFmtId="338" fontId="307" fillId="61" borderId="52" xfId="0" applyFont="1" applyFill="1" applyBorder="1"/>
    <xf numFmtId="338" fontId="306" fillId="61" borderId="24" xfId="0" applyFont="1" applyFill="1" applyBorder="1"/>
    <xf numFmtId="338" fontId="307" fillId="61" borderId="24" xfId="0" applyFont="1" applyFill="1" applyBorder="1"/>
    <xf numFmtId="5" fontId="307" fillId="61" borderId="55" xfId="0" applyNumberFormat="1" applyFont="1" applyFill="1" applyBorder="1"/>
    <xf numFmtId="5" fontId="307" fillId="61" borderId="0" xfId="0" applyNumberFormat="1" applyFont="1" applyFill="1" applyBorder="1"/>
    <xf numFmtId="41" fontId="306" fillId="61" borderId="64" xfId="0" applyNumberFormat="1" applyFont="1" applyFill="1" applyBorder="1"/>
    <xf numFmtId="0" fontId="320" fillId="0" borderId="52" xfId="0" applyNumberFormat="1" applyFont="1" applyFill="1" applyBorder="1"/>
    <xf numFmtId="0" fontId="309" fillId="0" borderId="24" xfId="0" applyNumberFormat="1" applyFont="1" applyFill="1" applyBorder="1"/>
    <xf numFmtId="169" fontId="320" fillId="0" borderId="55" xfId="0" applyNumberFormat="1" applyFont="1" applyFill="1" applyBorder="1"/>
    <xf numFmtId="169" fontId="320" fillId="0" borderId="0" xfId="0" applyNumberFormat="1" applyFont="1" applyFill="1" applyBorder="1"/>
    <xf numFmtId="5" fontId="306" fillId="61" borderId="63" xfId="0" applyNumberFormat="1" applyFont="1" applyFill="1" applyBorder="1"/>
    <xf numFmtId="338" fontId="306" fillId="61" borderId="83" xfId="0" applyFont="1" applyFill="1" applyBorder="1"/>
    <xf numFmtId="44" fontId="306" fillId="61" borderId="83" xfId="1156" applyFont="1" applyFill="1" applyBorder="1"/>
    <xf numFmtId="337" fontId="306" fillId="61" borderId="83" xfId="0" applyNumberFormat="1" applyFont="1" applyFill="1" applyBorder="1"/>
    <xf numFmtId="0" fontId="308" fillId="61" borderId="0" xfId="0" applyNumberFormat="1" applyFont="1" applyFill="1"/>
    <xf numFmtId="0" fontId="308" fillId="61" borderId="0" xfId="0" applyNumberFormat="1" applyFont="1" applyFill="1" applyAlignment="1">
      <alignment vertical="top"/>
    </xf>
    <xf numFmtId="0" fontId="308" fillId="61" borderId="0" xfId="0" applyNumberFormat="1" applyFont="1" applyFill="1" applyAlignment="1">
      <alignment horizontal="left" vertical="top" wrapText="1"/>
    </xf>
    <xf numFmtId="1" fontId="306" fillId="61" borderId="0" xfId="0" applyNumberFormat="1" applyFont="1" applyFill="1" applyAlignment="1">
      <alignment horizontal="left" vertical="top" wrapText="1"/>
    </xf>
    <xf numFmtId="0" fontId="308" fillId="61" borderId="52" xfId="0" applyNumberFormat="1" applyFont="1" applyFill="1" applyBorder="1" applyAlignment="1">
      <alignment vertical="top"/>
    </xf>
    <xf numFmtId="0" fontId="308" fillId="61" borderId="24" xfId="0" applyNumberFormat="1" applyFont="1" applyFill="1" applyBorder="1" applyAlignment="1">
      <alignment vertical="top"/>
    </xf>
    <xf numFmtId="0" fontId="306" fillId="0" borderId="24" xfId="4208" applyFont="1" applyFill="1" applyBorder="1" applyAlignment="1">
      <alignment horizontal="centerContinuous"/>
    </xf>
    <xf numFmtId="9" fontId="306" fillId="0" borderId="24" xfId="2190" applyFont="1" applyFill="1" applyBorder="1" applyAlignment="1">
      <alignment horizontal="centerContinuous"/>
    </xf>
    <xf numFmtId="0" fontId="308" fillId="61" borderId="24" xfId="0" applyNumberFormat="1" applyFont="1" applyFill="1" applyBorder="1" applyAlignment="1">
      <alignment horizontal="left" vertical="top" wrapText="1"/>
    </xf>
    <xf numFmtId="1" fontId="306" fillId="61" borderId="55" xfId="0" applyNumberFormat="1" applyFont="1" applyFill="1" applyBorder="1" applyAlignment="1">
      <alignment horizontal="left" vertical="top" wrapText="1"/>
    </xf>
    <xf numFmtId="172" fontId="306" fillId="61" borderId="0" xfId="0" applyNumberFormat="1" applyFont="1" applyFill="1" applyAlignment="1">
      <alignment vertical="top"/>
    </xf>
    <xf numFmtId="0" fontId="306" fillId="61" borderId="0" xfId="0" applyNumberFormat="1" applyFont="1" applyFill="1" applyAlignment="1">
      <alignment horizontal="left" vertical="top" wrapText="1"/>
    </xf>
    <xf numFmtId="0" fontId="306" fillId="61" borderId="87" xfId="0" applyNumberFormat="1" applyFont="1" applyFill="1" applyBorder="1" applyAlignment="1">
      <alignment horizontal="left" vertical="top" wrapText="1"/>
    </xf>
    <xf numFmtId="0" fontId="306" fillId="61" borderId="0" xfId="0" applyNumberFormat="1" applyFont="1" applyFill="1" applyBorder="1" applyAlignment="1">
      <alignment horizontal="left" vertical="top" wrapText="1"/>
    </xf>
    <xf numFmtId="43" fontId="306" fillId="0" borderId="32" xfId="1521" applyFont="1" applyFill="1" applyBorder="1" applyAlignment="1">
      <alignment horizontal="right"/>
    </xf>
    <xf numFmtId="365" fontId="306" fillId="0" borderId="32" xfId="4208" applyNumberFormat="1" applyFont="1" applyFill="1" applyBorder="1"/>
    <xf numFmtId="365" fontId="306" fillId="0" borderId="86" xfId="4208" applyNumberFormat="1" applyFont="1" applyFill="1" applyBorder="1"/>
    <xf numFmtId="0" fontId="306" fillId="61" borderId="0" xfId="0" applyNumberFormat="1" applyFont="1" applyFill="1"/>
    <xf numFmtId="169" fontId="307" fillId="61" borderId="85" xfId="741" applyNumberFormat="1" applyFont="1" applyFill="1" applyBorder="1" applyAlignment="1">
      <alignment horizontal="left"/>
    </xf>
    <xf numFmtId="338" fontId="306" fillId="61" borderId="32" xfId="0" applyFont="1" applyFill="1" applyBorder="1"/>
    <xf numFmtId="0" fontId="321" fillId="61" borderId="86" xfId="0" applyNumberFormat="1" applyFont="1" applyFill="1" applyBorder="1"/>
    <xf numFmtId="0" fontId="321" fillId="61" borderId="0" xfId="0" applyNumberFormat="1" applyFont="1" applyFill="1" applyBorder="1"/>
    <xf numFmtId="338" fontId="306" fillId="61" borderId="87" xfId="0" applyFont="1" applyFill="1" applyBorder="1"/>
    <xf numFmtId="43" fontId="306" fillId="0" borderId="0" xfId="1521" applyFont="1" applyFill="1" applyBorder="1" applyAlignment="1">
      <alignment horizontal="right"/>
    </xf>
    <xf numFmtId="169" fontId="306" fillId="0" borderId="83" xfId="2178" applyNumberFormat="1" applyFont="1" applyFill="1" applyBorder="1"/>
    <xf numFmtId="169" fontId="306" fillId="0" borderId="91" xfId="2178" applyNumberFormat="1" applyFont="1" applyFill="1" applyBorder="1"/>
    <xf numFmtId="0" fontId="321" fillId="61" borderId="87" xfId="0" applyNumberFormat="1" applyFont="1" applyFill="1" applyBorder="1"/>
    <xf numFmtId="3" fontId="306" fillId="61" borderId="88" xfId="0" applyNumberFormat="1" applyFont="1" applyFill="1" applyBorder="1" applyAlignment="1"/>
    <xf numFmtId="3" fontId="306" fillId="61" borderId="0" xfId="0" applyNumberFormat="1" applyFont="1" applyFill="1" applyBorder="1" applyAlignment="1"/>
    <xf numFmtId="174" fontId="306" fillId="0" borderId="0" xfId="1521" applyNumberFormat="1" applyFont="1" applyFill="1" applyBorder="1"/>
    <xf numFmtId="174" fontId="306" fillId="0" borderId="92" xfId="1521" applyNumberFormat="1" applyFont="1" applyFill="1" applyBorder="1"/>
    <xf numFmtId="169" fontId="306" fillId="61" borderId="87" xfId="741" applyNumberFormat="1" applyFont="1" applyFill="1" applyBorder="1" applyAlignment="1">
      <alignment horizontal="left"/>
    </xf>
    <xf numFmtId="37" fontId="306" fillId="61" borderId="88" xfId="0" applyNumberFormat="1" applyFont="1" applyFill="1" applyBorder="1"/>
    <xf numFmtId="174" fontId="306" fillId="0" borderId="83" xfId="1521" applyNumberFormat="1" applyFont="1" applyFill="1" applyBorder="1"/>
    <xf numFmtId="174" fontId="306" fillId="0" borderId="91" xfId="1521" applyNumberFormat="1" applyFont="1" applyFill="1" applyBorder="1"/>
    <xf numFmtId="338" fontId="306" fillId="61" borderId="89" xfId="0" applyFont="1" applyFill="1" applyBorder="1"/>
    <xf numFmtId="338" fontId="306" fillId="61" borderId="2" xfId="0" applyFont="1" applyFill="1" applyBorder="1"/>
    <xf numFmtId="43" fontId="306" fillId="0" borderId="2" xfId="1521" applyFont="1" applyFill="1" applyBorder="1" applyAlignment="1">
      <alignment horizontal="right"/>
    </xf>
    <xf numFmtId="42" fontId="306" fillId="0" borderId="2" xfId="1521" applyNumberFormat="1" applyFont="1" applyFill="1" applyBorder="1"/>
    <xf numFmtId="338" fontId="306" fillId="61" borderId="23" xfId="0" applyFont="1" applyFill="1" applyBorder="1"/>
    <xf numFmtId="42" fontId="306" fillId="0" borderId="90" xfId="1521" applyNumberFormat="1" applyFont="1" applyFill="1" applyBorder="1"/>
    <xf numFmtId="169" fontId="306" fillId="61" borderId="88" xfId="741" applyNumberFormat="1" applyFont="1" applyFill="1" applyBorder="1"/>
    <xf numFmtId="169" fontId="306" fillId="61" borderId="88" xfId="0" applyNumberFormat="1" applyFont="1" applyFill="1" applyBorder="1"/>
    <xf numFmtId="169" fontId="306" fillId="61" borderId="0" xfId="0" applyNumberFormat="1" applyFont="1" applyFill="1" applyBorder="1"/>
    <xf numFmtId="169" fontId="307" fillId="61" borderId="89" xfId="741" applyNumberFormat="1" applyFont="1" applyFill="1" applyBorder="1" applyAlignment="1">
      <alignment horizontal="left"/>
    </xf>
    <xf numFmtId="37" fontId="307" fillId="61" borderId="90" xfId="0" applyNumberFormat="1" applyFont="1" applyFill="1" applyBorder="1"/>
    <xf numFmtId="2" fontId="306" fillId="61" borderId="0" xfId="0" applyNumberFormat="1" applyFont="1" applyFill="1"/>
    <xf numFmtId="338" fontId="306" fillId="0" borderId="0" xfId="0" applyFont="1"/>
    <xf numFmtId="338" fontId="306" fillId="0" borderId="0" xfId="0" applyFont="1" applyBorder="1"/>
    <xf numFmtId="338" fontId="322" fillId="61" borderId="0" xfId="0" applyFont="1" applyFill="1"/>
    <xf numFmtId="1" fontId="307" fillId="61" borderId="53" xfId="0" applyNumberFormat="1" applyFont="1" applyFill="1" applyBorder="1" applyAlignment="1">
      <alignment horizontal="center"/>
    </xf>
    <xf numFmtId="1" fontId="307" fillId="61" borderId="83" xfId="0" applyNumberFormat="1" applyFont="1" applyFill="1" applyBorder="1" applyAlignment="1">
      <alignment horizontal="center"/>
    </xf>
    <xf numFmtId="1" fontId="307" fillId="61" borderId="54" xfId="0" applyNumberFormat="1" applyFont="1" applyFill="1" applyBorder="1" applyAlignment="1">
      <alignment horizontal="center"/>
    </xf>
    <xf numFmtId="5" fontId="312" fillId="61" borderId="0" xfId="0" applyNumberFormat="1" applyFont="1" applyFill="1"/>
    <xf numFmtId="5" fontId="306" fillId="61" borderId="0" xfId="0" applyNumberFormat="1" applyFont="1" applyFill="1"/>
    <xf numFmtId="9" fontId="306" fillId="0" borderId="0" xfId="0" applyNumberFormat="1" applyFont="1" applyBorder="1"/>
    <xf numFmtId="37" fontId="306" fillId="61" borderId="83" xfId="0" applyNumberFormat="1" applyFont="1" applyFill="1" applyBorder="1"/>
    <xf numFmtId="173" fontId="308" fillId="61" borderId="0" xfId="343" applyNumberFormat="1" applyFont="1" applyFill="1" applyBorder="1"/>
    <xf numFmtId="9" fontId="306" fillId="61" borderId="0" xfId="762" applyFont="1" applyFill="1"/>
    <xf numFmtId="338" fontId="307" fillId="0" borderId="0" xfId="0" applyFont="1" applyBorder="1"/>
    <xf numFmtId="37" fontId="307" fillId="0" borderId="0" xfId="0" applyNumberFormat="1" applyFont="1" applyBorder="1"/>
    <xf numFmtId="9" fontId="308" fillId="61" borderId="0" xfId="741" applyNumberFormat="1" applyFont="1" applyFill="1" applyBorder="1"/>
    <xf numFmtId="9" fontId="306" fillId="0" borderId="80" xfId="0" applyNumberFormat="1" applyFont="1" applyBorder="1" applyAlignment="1">
      <alignment horizontal="left"/>
    </xf>
    <xf numFmtId="338" fontId="306" fillId="0" borderId="79" xfId="0" applyFont="1" applyBorder="1"/>
    <xf numFmtId="10" fontId="306" fillId="0" borderId="79" xfId="0" applyNumberFormat="1" applyFont="1" applyBorder="1"/>
    <xf numFmtId="338" fontId="306" fillId="0" borderId="81" xfId="0" applyFont="1" applyBorder="1"/>
    <xf numFmtId="10" fontId="306" fillId="61" borderId="0" xfId="762" applyNumberFormat="1" applyFont="1" applyFill="1"/>
    <xf numFmtId="10" fontId="306" fillId="61" borderId="53" xfId="741" applyNumberFormat="1" applyFont="1" applyFill="1" applyBorder="1"/>
    <xf numFmtId="10" fontId="306" fillId="61" borderId="83" xfId="741" applyNumberFormat="1" applyFont="1" applyFill="1" applyBorder="1"/>
    <xf numFmtId="10" fontId="306" fillId="61" borderId="54" xfId="741" applyNumberFormat="1" applyFont="1" applyFill="1" applyBorder="1"/>
    <xf numFmtId="0" fontId="306" fillId="61" borderId="0" xfId="0" applyNumberFormat="1" applyFont="1" applyFill="1" applyAlignment="1">
      <alignment horizontal="right"/>
    </xf>
    <xf numFmtId="37" fontId="306" fillId="61" borderId="17" xfId="0" applyNumberFormat="1" applyFont="1" applyFill="1" applyBorder="1"/>
    <xf numFmtId="338" fontId="321" fillId="0" borderId="0" xfId="0" applyFont="1"/>
    <xf numFmtId="9" fontId="321" fillId="0" borderId="0" xfId="762" applyFont="1"/>
    <xf numFmtId="338" fontId="323" fillId="61" borderId="0" xfId="0" applyFont="1" applyFill="1"/>
    <xf numFmtId="14" fontId="307" fillId="61" borderId="72" xfId="0" applyNumberFormat="1" applyFont="1" applyFill="1" applyBorder="1" applyAlignment="1">
      <alignment horizontal="center"/>
    </xf>
    <xf numFmtId="14" fontId="307" fillId="61" borderId="78" xfId="0" applyNumberFormat="1" applyFont="1" applyFill="1" applyBorder="1" applyAlignment="1">
      <alignment horizontal="center"/>
    </xf>
    <xf numFmtId="14" fontId="307" fillId="61" borderId="74" xfId="0" applyNumberFormat="1" applyFont="1" applyFill="1" applyBorder="1" applyAlignment="1">
      <alignment horizontal="center"/>
    </xf>
    <xf numFmtId="14" fontId="307" fillId="61" borderId="0" xfId="0" applyNumberFormat="1" applyFont="1" applyFill="1" applyAlignment="1">
      <alignment horizontal="center"/>
    </xf>
    <xf numFmtId="14" fontId="307" fillId="61" borderId="82" xfId="0" applyNumberFormat="1" applyFont="1" applyFill="1" applyBorder="1" applyAlignment="1">
      <alignment horizontal="center"/>
    </xf>
    <xf numFmtId="5" fontId="308" fillId="61" borderId="0" xfId="0" applyNumberFormat="1" applyFont="1" applyFill="1"/>
    <xf numFmtId="37" fontId="315" fillId="61" borderId="0" xfId="0" applyNumberFormat="1" applyFont="1" applyFill="1" applyAlignment="1">
      <alignment horizontal="right"/>
    </xf>
    <xf numFmtId="166" fontId="315" fillId="61" borderId="0" xfId="0" applyNumberFormat="1" applyFont="1" applyFill="1"/>
    <xf numFmtId="37" fontId="315" fillId="61" borderId="0" xfId="0" applyNumberFormat="1" applyFont="1" applyFill="1"/>
    <xf numFmtId="338" fontId="318" fillId="61" borderId="0" xfId="0" applyFont="1" applyFill="1" applyAlignment="1">
      <alignment horizontal="center"/>
    </xf>
    <xf numFmtId="5" fontId="306" fillId="61" borderId="84" xfId="0" applyNumberFormat="1" applyFont="1" applyFill="1" applyBorder="1"/>
    <xf numFmtId="342" fontId="306" fillId="61" borderId="0" xfId="0" applyNumberFormat="1" applyFont="1" applyFill="1" applyBorder="1"/>
    <xf numFmtId="37" fontId="308" fillId="61" borderId="0" xfId="0" applyNumberFormat="1" applyFont="1" applyFill="1" applyBorder="1"/>
    <xf numFmtId="5" fontId="306" fillId="61" borderId="0" xfId="0" applyNumberFormat="1" applyFont="1" applyFill="1" applyAlignment="1">
      <alignment horizontal="center"/>
    </xf>
    <xf numFmtId="172" fontId="306" fillId="61" borderId="0" xfId="0" applyNumberFormat="1" applyFont="1" applyFill="1" applyAlignment="1">
      <alignment horizontal="center" vertical="top"/>
    </xf>
    <xf numFmtId="172" fontId="306" fillId="61" borderId="0" xfId="0" quotePrefix="1" applyNumberFormat="1" applyFont="1" applyFill="1" applyAlignment="1">
      <alignment vertical="top" wrapText="1"/>
    </xf>
    <xf numFmtId="44" fontId="306" fillId="61" borderId="0" xfId="1156" applyFont="1" applyFill="1" applyBorder="1"/>
    <xf numFmtId="337" fontId="306" fillId="61" borderId="0" xfId="0" applyNumberFormat="1" applyFont="1" applyFill="1" applyBorder="1"/>
    <xf numFmtId="7" fontId="306" fillId="61" borderId="0" xfId="0" applyNumberFormat="1" applyFont="1" applyFill="1" applyBorder="1"/>
    <xf numFmtId="0" fontId="306" fillId="61" borderId="0" xfId="0" applyNumberFormat="1" applyFont="1" applyFill="1" applyAlignment="1">
      <alignment horizontal="center"/>
    </xf>
    <xf numFmtId="0" fontId="307" fillId="0" borderId="80" xfId="0" applyNumberFormat="1" applyFont="1" applyFill="1" applyBorder="1" applyAlignment="1">
      <alignment horizontal="center" vertical="center" wrapText="1"/>
    </xf>
    <xf numFmtId="0" fontId="307" fillId="0" borderId="79" xfId="0" applyNumberFormat="1" applyFont="1" applyFill="1" applyBorder="1" applyAlignment="1">
      <alignment horizontal="center" vertical="center" wrapText="1"/>
    </xf>
    <xf numFmtId="0" fontId="307" fillId="0" borderId="81" xfId="0" applyNumberFormat="1" applyFont="1" applyFill="1" applyBorder="1" applyAlignment="1">
      <alignment horizontal="center" vertical="center" wrapText="1"/>
    </xf>
    <xf numFmtId="0" fontId="314" fillId="61" borderId="0" xfId="0" applyNumberFormat="1" applyFont="1" applyFill="1" applyAlignment="1">
      <alignment horizontal="center"/>
    </xf>
    <xf numFmtId="0" fontId="307" fillId="0" borderId="53" xfId="0" applyNumberFormat="1" applyFont="1" applyFill="1" applyBorder="1" applyAlignment="1">
      <alignment horizontal="center" vertical="center" wrapText="1"/>
    </xf>
    <xf numFmtId="0" fontId="307" fillId="0" borderId="83" xfId="0" applyNumberFormat="1" applyFont="1" applyFill="1" applyBorder="1" applyAlignment="1">
      <alignment horizontal="center" vertical="center" wrapText="1"/>
    </xf>
    <xf numFmtId="0" fontId="307" fillId="0" borderId="54" xfId="0" applyNumberFormat="1" applyFont="1" applyFill="1" applyBorder="1" applyAlignment="1">
      <alignment horizontal="center" vertical="center" wrapText="1"/>
    </xf>
    <xf numFmtId="0" fontId="307" fillId="61" borderId="0" xfId="0" applyNumberFormat="1" applyFont="1" applyFill="1"/>
    <xf numFmtId="166" fontId="324" fillId="61" borderId="0" xfId="0" applyNumberFormat="1" applyFont="1" applyFill="1" applyBorder="1"/>
    <xf numFmtId="5" fontId="308" fillId="61" borderId="0" xfId="0" applyNumberFormat="1" applyFont="1" applyFill="1" applyBorder="1"/>
    <xf numFmtId="166" fontId="306" fillId="61" borderId="83" xfId="0" applyNumberFormat="1" applyFont="1" applyFill="1" applyBorder="1"/>
    <xf numFmtId="5" fontId="306" fillId="61" borderId="46" xfId="0" applyNumberFormat="1" applyFont="1" applyFill="1" applyBorder="1"/>
    <xf numFmtId="5" fontId="306" fillId="61" borderId="0" xfId="0" applyNumberFormat="1" applyFont="1" applyFill="1" applyBorder="1"/>
    <xf numFmtId="166" fontId="306" fillId="61" borderId="46" xfId="0" applyNumberFormat="1" applyFont="1" applyFill="1" applyBorder="1"/>
    <xf numFmtId="37" fontId="306" fillId="61" borderId="13" xfId="0" applyNumberFormat="1" applyFont="1" applyFill="1" applyBorder="1"/>
    <xf numFmtId="166" fontId="306" fillId="61" borderId="13" xfId="0" applyNumberFormat="1" applyFont="1" applyFill="1" applyBorder="1"/>
    <xf numFmtId="0" fontId="306" fillId="0" borderId="0" xfId="0" applyNumberFormat="1" applyFont="1" applyFill="1"/>
    <xf numFmtId="0" fontId="308" fillId="0" borderId="0" xfId="0" applyNumberFormat="1" applyFont="1" applyFill="1" applyAlignment="1">
      <alignment horizontal="center"/>
    </xf>
    <xf numFmtId="166" fontId="306" fillId="61" borderId="0" xfId="0" applyNumberFormat="1" applyFont="1" applyFill="1" applyBorder="1"/>
    <xf numFmtId="166" fontId="306" fillId="61" borderId="66" xfId="0" applyNumberFormat="1" applyFont="1" applyFill="1" applyBorder="1"/>
    <xf numFmtId="0" fontId="307" fillId="0" borderId="0" xfId="0" applyNumberFormat="1" applyFont="1"/>
    <xf numFmtId="0" fontId="306" fillId="61" borderId="83" xfId="0" applyNumberFormat="1" applyFont="1" applyFill="1" applyBorder="1"/>
    <xf numFmtId="0" fontId="307" fillId="61" borderId="83" xfId="0" applyNumberFormat="1" applyFont="1" applyFill="1" applyBorder="1"/>
    <xf numFmtId="9" fontId="306" fillId="61" borderId="0" xfId="0" applyNumberFormat="1" applyFont="1" applyFill="1"/>
    <xf numFmtId="7" fontId="306" fillId="61" borderId="0" xfId="0" applyNumberFormat="1" applyFont="1" applyFill="1"/>
    <xf numFmtId="3" fontId="306" fillId="61" borderId="83" xfId="0" applyNumberFormat="1" applyFont="1" applyFill="1" applyBorder="1"/>
    <xf numFmtId="338" fontId="307" fillId="0" borderId="15" xfId="0" applyFont="1" applyFill="1" applyBorder="1" applyAlignment="1">
      <alignment horizontal="center"/>
    </xf>
    <xf numFmtId="338" fontId="307" fillId="0" borderId="0" xfId="0" applyFont="1" applyFill="1" applyBorder="1" applyAlignment="1">
      <alignment horizontal="center"/>
    </xf>
    <xf numFmtId="0" fontId="307" fillId="0" borderId="82" xfId="0" applyNumberFormat="1" applyFont="1" applyFill="1" applyBorder="1" applyAlignment="1">
      <alignment horizontal="center"/>
    </xf>
    <xf numFmtId="338" fontId="307" fillId="0" borderId="0" xfId="0" applyFont="1" applyFill="1" applyBorder="1" applyAlignment="1"/>
    <xf numFmtId="338" fontId="307" fillId="0" borderId="72" xfId="0" applyFont="1" applyFill="1" applyBorder="1" applyAlignment="1">
      <alignment horizontal="centerContinuous"/>
    </xf>
    <xf numFmtId="338" fontId="307" fillId="0" borderId="78" xfId="0" applyFont="1" applyFill="1" applyBorder="1" applyAlignment="1">
      <alignment horizontal="centerContinuous"/>
    </xf>
    <xf numFmtId="338" fontId="307" fillId="0" borderId="74" xfId="0" applyFont="1" applyFill="1" applyBorder="1" applyAlignment="1">
      <alignment horizontal="centerContinuous"/>
    </xf>
    <xf numFmtId="338" fontId="307" fillId="0" borderId="71" xfId="0" applyFont="1" applyFill="1" applyBorder="1" applyAlignment="1">
      <alignment horizontal="center"/>
    </xf>
    <xf numFmtId="14" fontId="307" fillId="0" borderId="0" xfId="0" applyNumberFormat="1" applyFont="1" applyFill="1" applyBorder="1" applyAlignment="1">
      <alignment horizontal="center"/>
    </xf>
    <xf numFmtId="338" fontId="307" fillId="0" borderId="6" xfId="0" applyFont="1" applyFill="1" applyBorder="1" applyAlignment="1">
      <alignment horizontal="center"/>
    </xf>
    <xf numFmtId="338" fontId="307" fillId="0" borderId="0" xfId="0" applyFont="1" applyFill="1" applyAlignment="1">
      <alignment horizontal="centerContinuous"/>
    </xf>
    <xf numFmtId="338" fontId="307" fillId="0" borderId="82" xfId="0" applyFont="1" applyFill="1" applyBorder="1" applyAlignment="1">
      <alignment horizontal="center"/>
    </xf>
    <xf numFmtId="169" fontId="306" fillId="61" borderId="0" xfId="741" applyNumberFormat="1" applyFont="1" applyFill="1"/>
    <xf numFmtId="0" fontId="313" fillId="61" borderId="0" xfId="0" applyNumberFormat="1" applyFont="1" applyFill="1" applyBorder="1" applyAlignment="1">
      <alignment horizontal="centerContinuous"/>
    </xf>
    <xf numFmtId="0" fontId="307" fillId="0" borderId="0" xfId="0" applyNumberFormat="1" applyFont="1" applyFill="1" applyBorder="1" applyAlignment="1"/>
    <xf numFmtId="0" fontId="307" fillId="0" borderId="72" xfId="0" applyNumberFormat="1" applyFont="1" applyFill="1" applyBorder="1" applyAlignment="1">
      <alignment horizontal="centerContinuous"/>
    </xf>
    <xf numFmtId="0" fontId="307" fillId="0" borderId="78" xfId="0" applyNumberFormat="1" applyFont="1" applyFill="1" applyBorder="1" applyAlignment="1">
      <alignment horizontal="centerContinuous"/>
    </xf>
    <xf numFmtId="0" fontId="307" fillId="0" borderId="74" xfId="0" applyNumberFormat="1" applyFont="1" applyFill="1" applyBorder="1" applyAlignment="1">
      <alignment horizontal="centerContinuous"/>
    </xf>
    <xf numFmtId="0" fontId="306" fillId="0" borderId="0" xfId="0" applyNumberFormat="1" applyFont="1" applyFill="1" applyBorder="1" applyAlignment="1"/>
    <xf numFmtId="0" fontId="307" fillId="0" borderId="15" xfId="0" applyNumberFormat="1" applyFont="1" applyFill="1" applyBorder="1" applyAlignment="1">
      <alignment horizontal="centerContinuous"/>
    </xf>
    <xf numFmtId="0" fontId="314" fillId="61" borderId="0" xfId="0" applyNumberFormat="1" applyFont="1" applyFill="1"/>
    <xf numFmtId="14" fontId="306" fillId="61" borderId="0" xfId="0" applyNumberFormat="1" applyFont="1" applyFill="1" applyBorder="1" applyAlignment="1">
      <alignment horizontal="center"/>
    </xf>
    <xf numFmtId="356" fontId="307" fillId="61" borderId="6" xfId="0" applyNumberFormat="1" applyFont="1" applyFill="1" applyBorder="1" applyAlignment="1">
      <alignment horizontal="center"/>
    </xf>
    <xf numFmtId="356" fontId="307" fillId="61" borderId="0" xfId="0" applyNumberFormat="1" applyFont="1" applyFill="1" applyBorder="1" applyAlignment="1">
      <alignment horizontal="center"/>
    </xf>
    <xf numFmtId="356" fontId="307" fillId="61" borderId="53" xfId="0" applyNumberFormat="1" applyFont="1" applyFill="1" applyBorder="1" applyAlignment="1">
      <alignment horizontal="center"/>
    </xf>
    <xf numFmtId="356" fontId="307" fillId="61" borderId="83" xfId="0" applyNumberFormat="1" applyFont="1" applyFill="1" applyBorder="1" applyAlignment="1">
      <alignment horizontal="center"/>
    </xf>
    <xf numFmtId="356" fontId="307" fillId="61" borderId="54" xfId="0" applyNumberFormat="1" applyFont="1" applyFill="1" applyBorder="1" applyAlignment="1">
      <alignment horizontal="center"/>
    </xf>
    <xf numFmtId="0" fontId="306" fillId="61" borderId="0" xfId="0" applyNumberFormat="1" applyFont="1" applyFill="1" applyAlignment="1"/>
    <xf numFmtId="0" fontId="306" fillId="61" borderId="0" xfId="0" applyNumberFormat="1" applyFont="1" applyFill="1" applyBorder="1" applyAlignment="1"/>
    <xf numFmtId="356" fontId="307" fillId="61" borderId="0" xfId="0" applyNumberFormat="1" applyFont="1" applyFill="1" applyBorder="1" applyAlignment="1"/>
    <xf numFmtId="356" fontId="306" fillId="61" borderId="0" xfId="0" applyNumberFormat="1" applyFont="1" applyFill="1" applyAlignment="1">
      <alignment horizontal="center"/>
    </xf>
    <xf numFmtId="0" fontId="307" fillId="61" borderId="0" xfId="0" applyNumberFormat="1" applyFont="1" applyFill="1" applyAlignment="1"/>
    <xf numFmtId="169" fontId="308" fillId="61" borderId="0" xfId="741" applyNumberFormat="1" applyFont="1" applyFill="1"/>
    <xf numFmtId="356" fontId="308" fillId="61" borderId="0" xfId="0" applyNumberFormat="1" applyFont="1" applyFill="1" applyAlignment="1">
      <alignment horizontal="center"/>
    </xf>
    <xf numFmtId="3" fontId="306" fillId="61" borderId="0" xfId="741" applyNumberFormat="1" applyFont="1" applyFill="1" applyBorder="1" applyAlignment="1"/>
    <xf numFmtId="3" fontId="306" fillId="61" borderId="0" xfId="0" applyNumberFormat="1" applyFont="1" applyFill="1" applyAlignment="1">
      <alignment horizontal="center"/>
    </xf>
    <xf numFmtId="0" fontId="321" fillId="61" borderId="0" xfId="0" applyNumberFormat="1" applyFont="1" applyFill="1"/>
    <xf numFmtId="169" fontId="321" fillId="61" borderId="0" xfId="0" applyNumberFormat="1" applyFont="1" applyFill="1" applyAlignment="1">
      <alignment horizontal="right"/>
    </xf>
    <xf numFmtId="166" fontId="321" fillId="61" borderId="0" xfId="0" applyNumberFormat="1" applyFont="1" applyFill="1" applyBorder="1" applyAlignment="1">
      <alignment horizontal="right"/>
    </xf>
    <xf numFmtId="169" fontId="321" fillId="61" borderId="0" xfId="0" applyNumberFormat="1" applyFont="1" applyFill="1" applyBorder="1" applyAlignment="1">
      <alignment horizontal="right"/>
    </xf>
    <xf numFmtId="10" fontId="321" fillId="61" borderId="0" xfId="741" applyNumberFormat="1" applyFont="1" applyFill="1" applyBorder="1"/>
    <xf numFmtId="169" fontId="321" fillId="61" borderId="0" xfId="741" applyNumberFormat="1" applyFont="1" applyFill="1"/>
    <xf numFmtId="166" fontId="321" fillId="61" borderId="0" xfId="0" applyNumberFormat="1" applyFont="1" applyFill="1" applyAlignment="1">
      <alignment horizontal="right"/>
    </xf>
    <xf numFmtId="166" fontId="321" fillId="61" borderId="0" xfId="0" applyNumberFormat="1" applyFont="1" applyFill="1"/>
    <xf numFmtId="357" fontId="306" fillId="61" borderId="0" xfId="0" applyNumberFormat="1" applyFont="1" applyFill="1" applyBorder="1"/>
    <xf numFmtId="357" fontId="306" fillId="61" borderId="0" xfId="0" applyNumberFormat="1" applyFont="1" applyFill="1"/>
    <xf numFmtId="357" fontId="306" fillId="61" borderId="13" xfId="0" applyNumberFormat="1" applyFont="1" applyFill="1" applyBorder="1"/>
    <xf numFmtId="357" fontId="306" fillId="61" borderId="83" xfId="0" applyNumberFormat="1" applyFont="1" applyFill="1" applyBorder="1"/>
    <xf numFmtId="0" fontId="307" fillId="61" borderId="65" xfId="0" applyNumberFormat="1" applyFont="1" applyFill="1" applyBorder="1"/>
    <xf numFmtId="0" fontId="306" fillId="61" borderId="79" xfId="0" applyNumberFormat="1" applyFont="1" applyFill="1" applyBorder="1"/>
    <xf numFmtId="0" fontId="306" fillId="61" borderId="67" xfId="0" applyNumberFormat="1" applyFont="1" applyFill="1" applyBorder="1"/>
    <xf numFmtId="172" fontId="306" fillId="61" borderId="0" xfId="0" quotePrefix="1" applyNumberFormat="1" applyFont="1" applyFill="1" applyAlignment="1">
      <alignment horizontal="center"/>
    </xf>
    <xf numFmtId="337" fontId="306" fillId="61" borderId="0" xfId="0" applyNumberFormat="1" applyFont="1" applyFill="1"/>
    <xf numFmtId="37" fontId="307" fillId="61" borderId="66" xfId="0" applyNumberFormat="1" applyFont="1" applyFill="1" applyBorder="1"/>
    <xf numFmtId="169" fontId="306" fillId="61" borderId="64" xfId="0" applyNumberFormat="1" applyFont="1" applyFill="1" applyBorder="1"/>
    <xf numFmtId="37" fontId="306" fillId="61" borderId="67" xfId="0" applyNumberFormat="1" applyFont="1" applyFill="1" applyBorder="1"/>
    <xf numFmtId="0" fontId="307" fillId="61" borderId="52" xfId="0" applyNumberFormat="1" applyFont="1" applyFill="1" applyBorder="1"/>
    <xf numFmtId="0" fontId="307" fillId="61" borderId="24" xfId="0" applyNumberFormat="1" applyFont="1" applyFill="1" applyBorder="1"/>
    <xf numFmtId="172" fontId="306" fillId="61" borderId="24" xfId="0" applyNumberFormat="1" applyFont="1" applyFill="1" applyBorder="1" applyAlignment="1">
      <alignment horizontal="center"/>
    </xf>
    <xf numFmtId="37" fontId="306" fillId="61" borderId="70" xfId="0" applyNumberFormat="1" applyFont="1" applyFill="1" applyBorder="1"/>
    <xf numFmtId="172" fontId="306" fillId="61" borderId="83" xfId="0" applyNumberFormat="1" applyFont="1" applyFill="1" applyBorder="1"/>
    <xf numFmtId="0" fontId="308" fillId="61" borderId="0" xfId="0" applyNumberFormat="1" applyFont="1" applyFill="1" applyBorder="1"/>
    <xf numFmtId="0" fontId="306" fillId="0" borderId="0" xfId="2191" applyFont="1"/>
    <xf numFmtId="169" fontId="307" fillId="61" borderId="65" xfId="741" applyNumberFormat="1" applyFont="1" applyFill="1" applyBorder="1" applyAlignment="1">
      <alignment horizontal="left"/>
    </xf>
    <xf numFmtId="0" fontId="321" fillId="61" borderId="67" xfId="0" applyNumberFormat="1" applyFont="1" applyFill="1" applyBorder="1"/>
    <xf numFmtId="0" fontId="321" fillId="61" borderId="59" xfId="0" applyNumberFormat="1" applyFont="1" applyFill="1" applyBorder="1"/>
    <xf numFmtId="3" fontId="306" fillId="61" borderId="64" xfId="0" applyNumberFormat="1" applyFont="1" applyFill="1" applyBorder="1" applyAlignment="1"/>
    <xf numFmtId="169" fontId="306" fillId="61" borderId="59" xfId="741" applyNumberFormat="1" applyFont="1" applyFill="1" applyBorder="1" applyAlignment="1">
      <alignment horizontal="left"/>
    </xf>
    <xf numFmtId="37" fontId="308" fillId="61" borderId="64" xfId="0" applyNumberFormat="1" applyFont="1" applyFill="1" applyBorder="1"/>
    <xf numFmtId="169" fontId="306" fillId="61" borderId="64" xfId="741" applyNumberFormat="1" applyFont="1" applyFill="1" applyBorder="1"/>
    <xf numFmtId="169" fontId="307" fillId="61" borderId="53" xfId="741" applyNumberFormat="1" applyFont="1" applyFill="1" applyBorder="1" applyAlignment="1">
      <alignment horizontal="left"/>
    </xf>
    <xf numFmtId="37" fontId="307" fillId="61" borderId="54" xfId="0" applyNumberFormat="1" applyFont="1" applyFill="1" applyBorder="1"/>
    <xf numFmtId="169" fontId="307" fillId="61" borderId="0" xfId="741" applyNumberFormat="1" applyFont="1" applyFill="1" applyBorder="1" applyAlignment="1">
      <alignment horizontal="left"/>
    </xf>
    <xf numFmtId="0" fontId="307" fillId="61" borderId="0" xfId="0" applyNumberFormat="1" applyFont="1" applyFill="1" applyBorder="1"/>
    <xf numFmtId="338" fontId="307" fillId="61" borderId="0" xfId="0" applyFont="1" applyFill="1" applyBorder="1" applyAlignment="1">
      <alignment horizontal="center" wrapText="1"/>
    </xf>
    <xf numFmtId="166" fontId="309" fillId="61" borderId="0" xfId="0" applyNumberFormat="1" applyFont="1" applyFill="1" applyBorder="1" applyAlignment="1">
      <alignment horizontal="right"/>
    </xf>
    <xf numFmtId="5" fontId="306" fillId="61" borderId="64" xfId="0" applyNumberFormat="1" applyFont="1" applyFill="1" applyBorder="1"/>
    <xf numFmtId="0" fontId="306" fillId="61" borderId="0" xfId="0" applyNumberFormat="1" applyFont="1" applyFill="1" applyAlignment="1">
      <alignment vertical="top"/>
    </xf>
    <xf numFmtId="0" fontId="97" fillId="0" borderId="73" xfId="2191" applyFont="1" applyFill="1" applyBorder="1" applyAlignment="1">
      <alignment wrapText="1"/>
    </xf>
    <xf numFmtId="0" fontId="97" fillId="0" borderId="73" xfId="2191" applyFont="1" applyFill="1" applyBorder="1" applyAlignment="1">
      <alignment horizontal="center" wrapText="1"/>
    </xf>
    <xf numFmtId="0" fontId="97" fillId="0" borderId="74" xfId="2191" applyFont="1" applyFill="1" applyBorder="1" applyAlignment="1">
      <alignment horizontal="center" wrapText="1"/>
    </xf>
    <xf numFmtId="0" fontId="97" fillId="0" borderId="0" xfId="2191" applyFont="1" applyFill="1" applyBorder="1" applyAlignment="1">
      <alignment horizontal="left" wrapText="1"/>
    </xf>
    <xf numFmtId="0" fontId="97" fillId="0" borderId="0" xfId="2191" applyFont="1" applyFill="1" applyBorder="1" applyAlignment="1">
      <alignment wrapText="1"/>
    </xf>
    <xf numFmtId="0" fontId="97" fillId="0" borderId="0" xfId="2191" applyFont="1" applyFill="1" applyBorder="1" applyAlignment="1">
      <alignment horizontal="center" wrapText="1"/>
    </xf>
    <xf numFmtId="169" fontId="306" fillId="0" borderId="0" xfId="0" applyNumberFormat="1" applyFont="1" applyFill="1" applyBorder="1" applyProtection="1"/>
    <xf numFmtId="0" fontId="325" fillId="83" borderId="82" xfId="0" applyNumberFormat="1" applyFont="1" applyFill="1" applyBorder="1" applyAlignment="1"/>
    <xf numFmtId="0" fontId="313" fillId="61" borderId="0" xfId="0" applyNumberFormat="1" applyFont="1" applyFill="1" applyBorder="1" applyAlignment="1"/>
    <xf numFmtId="0" fontId="313" fillId="83" borderId="72" xfId="0" applyNumberFormat="1" applyFont="1" applyFill="1" applyBorder="1" applyAlignment="1">
      <alignment horizontal="centerContinuous"/>
    </xf>
    <xf numFmtId="0" fontId="313" fillId="83" borderId="78" xfId="0" applyNumberFormat="1" applyFont="1" applyFill="1" applyBorder="1" applyAlignment="1">
      <alignment horizontal="centerContinuous"/>
    </xf>
    <xf numFmtId="0" fontId="313" fillId="83" borderId="74" xfId="0" applyNumberFormat="1" applyFont="1" applyFill="1" applyBorder="1" applyAlignment="1">
      <alignment horizontal="centerContinuous"/>
    </xf>
    <xf numFmtId="356" fontId="312" fillId="61" borderId="0" xfId="0" applyNumberFormat="1" applyFont="1" applyFill="1" applyAlignment="1">
      <alignment horizontal="center"/>
    </xf>
    <xf numFmtId="0" fontId="308" fillId="0" borderId="0" xfId="0" applyNumberFormat="1" applyFont="1" applyFill="1"/>
    <xf numFmtId="0" fontId="310" fillId="61" borderId="0" xfId="0" applyNumberFormat="1" applyFont="1" applyFill="1" applyBorder="1" applyAlignment="1"/>
    <xf numFmtId="169" fontId="308" fillId="61" borderId="0" xfId="741" applyNumberFormat="1" applyFont="1" applyFill="1" applyBorder="1"/>
    <xf numFmtId="0" fontId="308" fillId="61" borderId="0" xfId="0" applyNumberFormat="1" applyFont="1" applyFill="1" applyBorder="1" applyAlignment="1"/>
    <xf numFmtId="0" fontId="306" fillId="61" borderId="64" xfId="0" applyNumberFormat="1" applyFont="1" applyFill="1" applyBorder="1"/>
    <xf numFmtId="0" fontId="307" fillId="61" borderId="53" xfId="0" applyNumberFormat="1" applyFont="1" applyFill="1" applyBorder="1"/>
    <xf numFmtId="0" fontId="308" fillId="61" borderId="13" xfId="0" applyNumberFormat="1" applyFont="1" applyFill="1" applyBorder="1" applyAlignment="1"/>
    <xf numFmtId="169" fontId="308" fillId="61" borderId="13" xfId="741" applyNumberFormat="1" applyFont="1" applyFill="1" applyBorder="1"/>
    <xf numFmtId="169" fontId="306" fillId="61" borderId="13" xfId="741" applyNumberFormat="1" applyFont="1" applyFill="1" applyBorder="1"/>
    <xf numFmtId="169" fontId="306" fillId="61" borderId="83" xfId="741" applyNumberFormat="1" applyFont="1" applyFill="1" applyBorder="1"/>
    <xf numFmtId="169" fontId="306" fillId="61" borderId="54" xfId="741" applyNumberFormat="1" applyFont="1" applyFill="1" applyBorder="1"/>
    <xf numFmtId="0" fontId="322" fillId="61" borderId="0" xfId="0" applyNumberFormat="1" applyFont="1" applyFill="1" applyBorder="1"/>
    <xf numFmtId="0" fontId="307" fillId="0" borderId="71" xfId="0" applyNumberFormat="1" applyFont="1" applyFill="1" applyBorder="1" applyAlignment="1">
      <alignment horizontal="center"/>
    </xf>
    <xf numFmtId="0" fontId="313" fillId="61" borderId="0" xfId="0" applyNumberFormat="1" applyFont="1" applyFill="1" applyAlignment="1">
      <alignment horizontal="center"/>
    </xf>
    <xf numFmtId="0" fontId="307" fillId="0" borderId="6" xfId="0" applyNumberFormat="1" applyFont="1" applyFill="1" applyBorder="1" applyAlignment="1">
      <alignment horizontal="center"/>
    </xf>
    <xf numFmtId="0" fontId="313" fillId="61" borderId="0" xfId="0" applyNumberFormat="1" applyFont="1" applyFill="1" applyBorder="1" applyAlignment="1">
      <alignment horizontal="center"/>
    </xf>
    <xf numFmtId="5" fontId="306" fillId="0" borderId="0" xfId="0" applyNumberFormat="1" applyFont="1" applyFill="1"/>
    <xf numFmtId="0" fontId="321" fillId="61" borderId="0" xfId="0" applyNumberFormat="1" applyFont="1" applyFill="1" applyAlignment="1">
      <alignment horizontal="center"/>
    </xf>
    <xf numFmtId="166" fontId="321" fillId="0" borderId="0" xfId="0" applyNumberFormat="1" applyFont="1" applyFill="1"/>
    <xf numFmtId="37" fontId="306" fillId="0" borderId="66" xfId="0" applyNumberFormat="1" applyFont="1" applyFill="1" applyBorder="1"/>
    <xf numFmtId="358" fontId="306" fillId="61" borderId="0" xfId="0" applyNumberFormat="1" applyFont="1" applyFill="1"/>
    <xf numFmtId="0" fontId="306" fillId="61" borderId="24" xfId="0" applyNumberFormat="1" applyFont="1" applyFill="1" applyBorder="1"/>
    <xf numFmtId="172" fontId="306" fillId="61" borderId="0" xfId="0" applyNumberFormat="1" applyFont="1" applyFill="1" applyBorder="1" applyAlignment="1">
      <alignment vertical="top"/>
    </xf>
    <xf numFmtId="0" fontId="326" fillId="61" borderId="0" xfId="0" applyNumberFormat="1" applyFont="1" applyFill="1" applyBorder="1"/>
    <xf numFmtId="164" fontId="306" fillId="61" borderId="0" xfId="0" applyNumberFormat="1" applyFont="1" applyFill="1" applyBorder="1"/>
    <xf numFmtId="0" fontId="313" fillId="83" borderId="82" xfId="0" applyNumberFormat="1" applyFont="1" applyFill="1" applyBorder="1" applyAlignment="1">
      <alignment horizontal="center"/>
    </xf>
    <xf numFmtId="0" fontId="313" fillId="83" borderId="81" xfId="0" applyNumberFormat="1" applyFont="1" applyFill="1" applyBorder="1" applyAlignment="1">
      <alignment horizontal="centerContinuous"/>
    </xf>
    <xf numFmtId="0" fontId="313" fillId="0" borderId="0" xfId="0" applyNumberFormat="1" applyFont="1" applyFill="1" applyBorder="1" applyAlignment="1"/>
    <xf numFmtId="1" fontId="307" fillId="61" borderId="0" xfId="0" applyNumberFormat="1" applyFont="1" applyFill="1" applyBorder="1" applyAlignment="1">
      <alignment horizontal="center"/>
    </xf>
    <xf numFmtId="1" fontId="307" fillId="61" borderId="82" xfId="0" applyNumberFormat="1" applyFont="1" applyFill="1" applyBorder="1" applyAlignment="1">
      <alignment horizontal="center"/>
    </xf>
    <xf numFmtId="1" fontId="307" fillId="61" borderId="72" xfId="0" applyNumberFormat="1" applyFont="1" applyFill="1" applyBorder="1" applyAlignment="1">
      <alignment horizontal="center"/>
    </xf>
    <xf numFmtId="1" fontId="307" fillId="61" borderId="78" xfId="0" applyNumberFormat="1" applyFont="1" applyFill="1" applyBorder="1" applyAlignment="1">
      <alignment horizontal="center"/>
    </xf>
    <xf numFmtId="1" fontId="307" fillId="61" borderId="74" xfId="0" applyNumberFormat="1" applyFont="1" applyFill="1" applyBorder="1" applyAlignment="1">
      <alignment horizontal="center"/>
    </xf>
    <xf numFmtId="1" fontId="307" fillId="0" borderId="0" xfId="0" applyNumberFormat="1" applyFont="1" applyFill="1" applyBorder="1" applyAlignment="1">
      <alignment horizontal="center"/>
    </xf>
    <xf numFmtId="5" fontId="321" fillId="61" borderId="0" xfId="0" applyNumberFormat="1" applyFont="1" applyFill="1" applyBorder="1"/>
    <xf numFmtId="166" fontId="321" fillId="61" borderId="0" xfId="0" applyNumberFormat="1" applyFont="1" applyFill="1" applyBorder="1"/>
    <xf numFmtId="166" fontId="306" fillId="61" borderId="0" xfId="0" applyNumberFormat="1" applyFont="1" applyFill="1" applyAlignment="1">
      <alignment horizontal="center"/>
    </xf>
    <xf numFmtId="169" fontId="306" fillId="61" borderId="0" xfId="0" applyNumberFormat="1" applyFont="1" applyFill="1" applyAlignment="1">
      <alignment horizontal="center"/>
    </xf>
    <xf numFmtId="168" fontId="306" fillId="61" borderId="0" xfId="0" applyNumberFormat="1" applyFont="1" applyFill="1" applyBorder="1"/>
    <xf numFmtId="5" fontId="307" fillId="0" borderId="55" xfId="0" applyNumberFormat="1" applyFont="1" applyBorder="1"/>
    <xf numFmtId="5" fontId="307" fillId="0" borderId="0" xfId="0" applyNumberFormat="1" applyFont="1" applyBorder="1"/>
    <xf numFmtId="0" fontId="97" fillId="0" borderId="82" xfId="0" applyNumberFormat="1" applyFont="1" applyFill="1" applyBorder="1" applyAlignment="1">
      <alignment horizontal="center"/>
    </xf>
    <xf numFmtId="0" fontId="97" fillId="0" borderId="0" xfId="0" applyNumberFormat="1" applyFont="1" applyFill="1" applyBorder="1" applyAlignment="1">
      <alignment horizontal="centerContinuous"/>
    </xf>
    <xf numFmtId="0" fontId="97" fillId="0" borderId="72" xfId="0" applyNumberFormat="1" applyFont="1" applyFill="1" applyBorder="1" applyAlignment="1">
      <alignment horizontal="centerContinuous"/>
    </xf>
    <xf numFmtId="0" fontId="97" fillId="0" borderId="81" xfId="0" applyNumberFormat="1" applyFont="1" applyFill="1" applyBorder="1" applyAlignment="1">
      <alignment horizontal="centerContinuous"/>
    </xf>
    <xf numFmtId="0" fontId="97" fillId="0" borderId="0" xfId="0" applyNumberFormat="1" applyFont="1" applyFill="1" applyBorder="1" applyAlignment="1"/>
    <xf numFmtId="0" fontId="97" fillId="0" borderId="82" xfId="0" applyNumberFormat="1" applyFont="1" applyFill="1" applyBorder="1" applyAlignment="1"/>
    <xf numFmtId="41" fontId="212" fillId="61" borderId="0" xfId="2191" applyNumberFormat="1" applyFont="1" applyFill="1"/>
    <xf numFmtId="37" fontId="212" fillId="0" borderId="0" xfId="2191" applyNumberFormat="1" applyFont="1" applyFill="1" applyBorder="1"/>
    <xf numFmtId="37" fontId="212" fillId="0" borderId="0" xfId="2191" applyNumberFormat="1" applyFont="1" applyFill="1"/>
    <xf numFmtId="338" fontId="97" fillId="0" borderId="79" xfId="0" applyFont="1" applyFill="1" applyBorder="1" applyAlignment="1">
      <alignment horizontal="left"/>
    </xf>
    <xf numFmtId="338" fontId="212" fillId="61" borderId="0" xfId="0" applyFont="1" applyFill="1" applyAlignment="1">
      <alignment horizontal="center"/>
    </xf>
    <xf numFmtId="0" fontId="306" fillId="61" borderId="0" xfId="0" applyNumberFormat="1" applyFont="1" applyFill="1" applyAlignment="1">
      <alignment horizontal="left" vertical="top" wrapText="1"/>
    </xf>
    <xf numFmtId="0" fontId="306" fillId="61" borderId="0" xfId="0" applyNumberFormat="1" applyFont="1" applyFill="1" applyBorder="1" applyAlignment="1">
      <alignment horizontal="left" vertical="top" wrapText="1"/>
    </xf>
    <xf numFmtId="0" fontId="97" fillId="0" borderId="72" xfId="2191" applyFont="1" applyFill="1" applyBorder="1" applyAlignment="1">
      <alignment horizontal="left" wrapText="1"/>
    </xf>
    <xf numFmtId="0" fontId="97" fillId="0" borderId="78" xfId="2191" applyFont="1" applyFill="1" applyBorder="1" applyAlignment="1">
      <alignment horizontal="left" wrapText="1"/>
    </xf>
    <xf numFmtId="338" fontId="307" fillId="0" borderId="72" xfId="0" applyFont="1" applyFill="1" applyBorder="1" applyAlignment="1">
      <alignment horizontal="center"/>
    </xf>
    <xf numFmtId="338" fontId="307" fillId="0" borderId="78" xfId="0" applyFont="1" applyFill="1" applyBorder="1" applyAlignment="1">
      <alignment horizontal="center"/>
    </xf>
    <xf numFmtId="338" fontId="307" fillId="0" borderId="74" xfId="0" applyFont="1" applyFill="1" applyBorder="1" applyAlignment="1">
      <alignment horizontal="center"/>
    </xf>
    <xf numFmtId="338" fontId="306" fillId="61" borderId="0" xfId="0" applyFont="1" applyFill="1" applyAlignment="1">
      <alignment horizontal="left" vertical="top" wrapText="1"/>
    </xf>
    <xf numFmtId="170" fontId="302" fillId="0" borderId="8" xfId="0" applyNumberFormat="1" applyFont="1" applyFill="1" applyBorder="1" applyAlignment="1">
      <alignment horizontal="left"/>
    </xf>
    <xf numFmtId="358" fontId="306" fillId="61" borderId="13" xfId="0" applyNumberFormat="1" applyFont="1" applyFill="1" applyBorder="1"/>
    <xf numFmtId="37" fontId="212" fillId="0" borderId="83" xfId="2191" applyNumberFormat="1" applyFont="1" applyFill="1" applyBorder="1"/>
  </cellXfs>
  <cellStyles count="4220">
    <cellStyle name="_x0010_" xfId="2620"/>
    <cellStyle name="_x0013_" xfId="1524"/>
    <cellStyle name="-" xfId="2194"/>
    <cellStyle name="------------------" xfId="2621"/>
    <cellStyle name=" " xfId="1"/>
    <cellStyle name=" _97연말" xfId="2"/>
    <cellStyle name=" _97연말1" xfId="3"/>
    <cellStyle name=" _Book1" xfId="4"/>
    <cellStyle name=" 1" xfId="2195"/>
    <cellStyle name="_x000a_386grabber=a" xfId="4166"/>
    <cellStyle name="_x000a_386grabber=M" xfId="5"/>
    <cellStyle name="_x000a_386grabber=M 2" xfId="4152"/>
    <cellStyle name="_x000a_386grabber=M_Sheet2" xfId="4153"/>
    <cellStyle name="_x000a_386grabber=S" xfId="4163"/>
    <cellStyle name="_x000a_shell=progma" xfId="2628"/>
    <cellStyle name="&quot;X&quot; MEN" xfId="4176"/>
    <cellStyle name="#" xfId="4164"/>
    <cellStyle name="$" xfId="6"/>
    <cellStyle name="$ &amp; ¢" xfId="1525"/>
    <cellStyle name="$ 0 decimal" xfId="2622"/>
    <cellStyle name="$ 1 decimal" xfId="4183"/>
    <cellStyle name="$_02_Financial Summary  Proj" xfId="1526"/>
    <cellStyle name="$_24 Unifrax GSMP  Model" xfId="1527"/>
    <cellStyle name="$_ADCO LBO Model v4" xfId="1528"/>
    <cellStyle name="$_ADCO LBO Model v7" xfId="1529"/>
    <cellStyle name="$_ANSI" xfId="4184"/>
    <cellStyle name="$_Bulk Mexico - Pro Forma Financial Statements Q308 DRAFT" xfId="2196"/>
    <cellStyle name="$_CORP1208 FINAL" xfId="4185"/>
    <cellStyle name="$_CORP1209 02.04.10 FINAL" xfId="4186"/>
    <cellStyle name="$_dcf" xfId="1530"/>
    <cellStyle name="$_Detailed Equity Roll for 2007 - 2009" xfId="4187"/>
    <cellStyle name="$_GS Model 07" xfId="1531"/>
    <cellStyle name="$_GW &amp; Intangible FN" xfId="4188"/>
    <cellStyle name="$_Middleby - Star Model Final 03-11-08" xfId="4189"/>
    <cellStyle name="$_Middleby - Star Model v5" xfId="4190"/>
    <cellStyle name="$_Model_v9d" xfId="1532"/>
    <cellStyle name="$_Second Lien Sensistivity" xfId="1533"/>
    <cellStyle name="$_Summit Purchase GW &amp; Intangibles Allocation %" xfId="4191"/>
    <cellStyle name="$_UAP - Fall 2003 Model" xfId="1534"/>
    <cellStyle name="$0.00, centered" xfId="1535"/>
    <cellStyle name="$000s1Place" xfId="7"/>
    <cellStyle name="$0dec(,)" xfId="4192"/>
    <cellStyle name="$1000s (0)" xfId="2197"/>
    <cellStyle name="$MMs1Place" xfId="8"/>
    <cellStyle name="$MMs2Places" xfId="9"/>
    <cellStyle name="%" xfId="1536"/>
    <cellStyle name="% [2]" xfId="2198"/>
    <cellStyle name="% Input" xfId="10"/>
    <cellStyle name="% Presentation" xfId="11"/>
    <cellStyle name="%.00" xfId="1537"/>
    <cellStyle name="%_2008-09-22 Oxygen Financials v2" xfId="4194"/>
    <cellStyle name="%_2010-10 Project Taurus - Info Pack I v10 (19-10-2010) RW v2 (2)" xfId="4195"/>
    <cellStyle name="%_MDA Tech Transfer Model  - FINAL" xfId="4196"/>
    <cellStyle name="%_Middleby - Star Model Final 03-11-08" xfId="4197"/>
    <cellStyle name="%_Middleby - Star Model v5" xfId="4198"/>
    <cellStyle name="%_Weekly Market Update-07-04-2003-final" xfId="2199"/>
    <cellStyle name="%0" xfId="2200"/>
    <cellStyle name="%1" xfId="2201"/>
    <cellStyle name="%2" xfId="2202"/>
    <cellStyle name="(000)s" xfId="1538"/>
    <cellStyle name="(z*¯_x000f_°(”,¯?À(¢,¯?Ð(°,¯?à(Â,¯?ð(Ô,¯?" xfId="2203"/>
    <cellStyle name="******************************************" xfId="12"/>
    <cellStyle name="****************************************** 2" xfId="4199"/>
    <cellStyle name="*Accounts format" xfId="4200"/>
    <cellStyle name="*Body text" xfId="4201"/>
    <cellStyle name="*Input" xfId="4202"/>
    <cellStyle name="*TD" xfId="2204"/>
    <cellStyle name="*Title 1" xfId="4203"/>
    <cellStyle name="*Title 2" xfId="4204"/>
    <cellStyle name="*Title 3" xfId="4205"/>
    <cellStyle name="," xfId="1539"/>
    <cellStyle name=";;;" xfId="13"/>
    <cellStyle name="?" xfId="14"/>
    <cellStyle name="??" xfId="15"/>
    <cellStyle name="?? [0]_??" xfId="2205"/>
    <cellStyle name="??&amp;O?&amp;H?_x0008__x000f__x0007_?_x0007__x0001__x0001_" xfId="16"/>
    <cellStyle name="??&amp;O?&amp;H?_x0008_??_x0007__x0001__x0001_" xfId="17"/>
    <cellStyle name="???[0]_RESULTS" xfId="18"/>
    <cellStyle name="???_RESULTS" xfId="19"/>
    <cellStyle name="??_?.????" xfId="2206"/>
    <cellStyle name="?W?_BOOKSHIP" xfId="2207"/>
    <cellStyle name="?W_Pacific Region P&amp;L " xfId="2208"/>
    <cellStyle name="?曹%U?&amp;H?_x0008_?s_x000a__x0007__x0001__x0001_" xfId="20"/>
    <cellStyle name="\" xfId="1540"/>
    <cellStyle name="\\" xfId="1541"/>
    <cellStyle name="\_CCC Full LBO Model (Level I)" xfId="1542"/>
    <cellStyle name="\_CCC Full LBO Model v.90" xfId="1543"/>
    <cellStyle name="\_Covenant Model v17" xfId="1544"/>
    <cellStyle name="\_FP Options" xfId="1545"/>
    <cellStyle name="\_Greatwide Model v29" xfId="1546"/>
    <cellStyle name="\_New Greatwide Model v4" xfId="1547"/>
    <cellStyle name="\_UHS Model v26" xfId="1548"/>
    <cellStyle name="\_UHS Model v66" xfId="1549"/>
    <cellStyle name="]_x0004_" xfId="21"/>
    <cellStyle name="^February 1992" xfId="4206"/>
    <cellStyle name="_$accounting" xfId="22"/>
    <cellStyle name="_%(SignOnly)" xfId="23"/>
    <cellStyle name="_%(SignOnly)_Book1" xfId="2210"/>
    <cellStyle name="_%(SignOnly)_CCC Full LBO Model (Level I)" xfId="1550"/>
    <cellStyle name="_%(SignOnly)_CCC Full LBO Model v.90" xfId="1551"/>
    <cellStyle name="_%(SignOnly)_Covenant Model v17" xfId="1552"/>
    <cellStyle name="_%(SignOnly)_FP Options" xfId="1553"/>
    <cellStyle name="_%(SignOnly)_Greatwide Model v29" xfId="1554"/>
    <cellStyle name="_%(SignOnly)_IS by Div 12-00 AC v4" xfId="2211"/>
    <cellStyle name="_%(SignOnly)_IS by Div 12-01 AC v4" xfId="2212"/>
    <cellStyle name="_%(SignOnly)_IS by Div 12-02 AC v4" xfId="2213"/>
    <cellStyle name="_%(SignOnly)_IS by Div 12-98 AC v4" xfId="2214"/>
    <cellStyle name="_%(SignOnly)_IS by Div 12-99 AC v4" xfId="2215"/>
    <cellStyle name="_%(SignOnly)_IS by Div Summary 1998-2002" xfId="2216"/>
    <cellStyle name="_%(SignOnly)_New Greatwide Model v4" xfId="1555"/>
    <cellStyle name="_%(SignOnly)_PW Access Revenue" xfId="2217"/>
    <cellStyle name="_%(SignOnly)_UHS Model v26" xfId="1556"/>
    <cellStyle name="_%(SignOnly)_UHS Model v66" xfId="1557"/>
    <cellStyle name="_%(SignSpaceOnly)" xfId="24"/>
    <cellStyle name="_%(SignSpaceOnly)_Book1" xfId="2218"/>
    <cellStyle name="_%(SignSpaceOnly)_CCC Full LBO Model (Level I)" xfId="1558"/>
    <cellStyle name="_%(SignSpaceOnly)_CCC Full LBO Model v.90" xfId="1559"/>
    <cellStyle name="_%(SignSpaceOnly)_Covenant Model v17" xfId="1560"/>
    <cellStyle name="_%(SignSpaceOnly)_FP Options" xfId="1561"/>
    <cellStyle name="_%(SignSpaceOnly)_IS by Div 12-00 AC v4" xfId="2219"/>
    <cellStyle name="_%(SignSpaceOnly)_IS by Div 12-01 AC v4" xfId="2220"/>
    <cellStyle name="_%(SignSpaceOnly)_IS by Div 12-02 AC v4" xfId="2221"/>
    <cellStyle name="_%(SignSpaceOnly)_IS by Div 12-98 AC v4" xfId="2222"/>
    <cellStyle name="_%(SignSpaceOnly)_IS by Div 12-99 AC v4" xfId="2223"/>
    <cellStyle name="_%(SignSpaceOnly)_IS by Div Summary 1998-2002" xfId="2224"/>
    <cellStyle name="_%(SignSpaceOnly)_PW Access Revenue" xfId="2225"/>
    <cellStyle name="__ [0]_New weekly report.Sep.3" xfId="2585"/>
    <cellStyle name="___[0]_New weekly report.Sep.3" xfId="2586"/>
    <cellStyle name="____03 ig group" xfId="2587"/>
    <cellStyle name="____New weekly report.Sep.3" xfId="2588"/>
    <cellStyle name="___group consol with variance" xfId="2589"/>
    <cellStyle name="___New weekly report.Sep.3" xfId="2590"/>
    <cellStyle name="_~6573219" xfId="2226"/>
    <cellStyle name="_~9766598" xfId="2227"/>
    <cellStyle name="_02반기부채" xfId="25"/>
    <cellStyle name="_02프리스넷A123" xfId="26"/>
    <cellStyle name="_05년개발비명세" xfId="27"/>
    <cellStyle name="_2003_GTV_FS" xfId="28"/>
    <cellStyle name="_2005 BP_Q4 Update &amp; 2006 Fleet Plan Comparison v3" xfId="2228"/>
    <cellStyle name="_2005-10-25 BP_3" xfId="2229"/>
    <cellStyle name="_20051222 Project Accel schedules" xfId="2230"/>
    <cellStyle name="_20051222 Project Accel Schedules-Juli" xfId="2231"/>
    <cellStyle name="_20051223 Project Accel Schedules-latest 122305" xfId="2232"/>
    <cellStyle name="_20051228 Project Accel Schedules-Juli" xfId="2233"/>
    <cellStyle name="_20051229 CVO Contract (V1) (2)" xfId="2234"/>
    <cellStyle name="_20051230 Project Accel Schedules v3" xfId="2235"/>
    <cellStyle name="_2008 GPB Revenue - Base Case v2 (5-20-08)" xfId="2236"/>
    <cellStyle name="_2008-04-23 Earth updated model v1" xfId="4207"/>
    <cellStyle name="_7" xfId="29"/>
    <cellStyle name="_ABRY Financing Model v14" xfId="2237"/>
    <cellStyle name="_ABRY Financing Model v14_Book1" xfId="2238"/>
    <cellStyle name="_ABRY Financing Model v14_KNOL PADD - Final revised 6.14.05" xfId="2239"/>
    <cellStyle name="_ABRY Financing Model v14_KNOL PADD - Final revised 6.14.05_1" xfId="2240"/>
    <cellStyle name="_ABRY Financing Model v14_KNOL PADD - Final revised 6.14.05_1_BlueTarp - BVAMS 09.30.07 DRAFT 1.0" xfId="2241"/>
    <cellStyle name="_ABRY Financing Model v14_KNOL PADD - Final revised 6.14.05_Book1" xfId="2242"/>
    <cellStyle name="_accounting" xfId="30"/>
    <cellStyle name="_Alt5" xfId="2565"/>
    <cellStyle name="_Alt5_CPII Model v5" xfId="2566"/>
    <cellStyle name="_Alt5_CPII Model v5_NUCO_Model_v74" xfId="2567"/>
    <cellStyle name="_Alt5_CPII Model v5_NUCO_Model_v74_NUCO_Model_v98 Acquisition.With.New.Equity" xfId="2568"/>
    <cellStyle name="_Alt5_CPII Model v5_NUCO_Model_v98 Acquisition.With.New.Equity" xfId="2569"/>
    <cellStyle name="_Alt5_NUCO_Model_v74" xfId="2570"/>
    <cellStyle name="_Alt5_NUCO_Model_v74 Acquisition Only Cash Flow + Equity" xfId="2571"/>
    <cellStyle name="_Alt5_NUCO_Model_v74 Acquisition Only Cash Flow + Equity_NUCO_Model_v98 Acquisition.With.New.Equity" xfId="2572"/>
    <cellStyle name="_APT 141 101603 ver 51" xfId="31"/>
    <cellStyle name="_assumption page" xfId="32"/>
    <cellStyle name="_ATA_2005-2008_10-25-05_Deck" xfId="2243"/>
    <cellStyle name="_Attachment 4-A Supplier Pricing Forms-RFP v2.3" xfId="2244"/>
    <cellStyle name="_Attachment 4-A Supplier Pricing Forms-RFP v3.0 Working" xfId="2245"/>
    <cellStyle name="_Attachment 4-A Supplier Pricing Forms-RFP-v2" xfId="2246"/>
    <cellStyle name="_Audited Financial Statement for 1Q 2005" xfId="33"/>
    <cellStyle name="_Bayford Analysis 7.0" xfId="2247"/>
    <cellStyle name="_BlueTarp - BVAMS 09.30.07 DRAFT 1.0" xfId="2248"/>
    <cellStyle name="_Boise Assets Debt Capacity_28" xfId="2249"/>
    <cellStyle name="_Book1" xfId="2250"/>
    <cellStyle name="_Book2" xfId="2251"/>
    <cellStyle name="_BPO" xfId="2252"/>
    <cellStyle name="_Canon CapIQ linked v1" xfId="34"/>
    <cellStyle name="_Cap Ex Analysis" xfId="2253"/>
    <cellStyle name="_CapitalIQ - 7.17.06 v4" xfId="35"/>
    <cellStyle name="_Cardinal-Idaho-Oxnard-Naval 9.22.03 Updated" xfId="2254"/>
    <cellStyle name="_cdc games 100807" xfId="36"/>
    <cellStyle name="_Column1" xfId="2255"/>
    <cellStyle name="_Column1_CPII Model v5" xfId="2573"/>
    <cellStyle name="_Column1_CPII Model v5_NUCO_Model_v74" xfId="2574"/>
    <cellStyle name="_Column1_CPII Model v5_NUCO_Model_v74_NUCO_Model_v98 Acquisition.With.New.Equity" xfId="2575"/>
    <cellStyle name="_Column1_CPII Model v5_NUCO_Model_v98 Acquisition.With.New.Equity" xfId="2576"/>
    <cellStyle name="_Column1_NUCO_Model_v74" xfId="2577"/>
    <cellStyle name="_Column1_NUCO_Model_v74_NUCO_Model_v98 Acquisition.With.New.Equity" xfId="2578"/>
    <cellStyle name="_Column1_NUCO_Model_v98 Acquisition.With.New.Equity" xfId="2579"/>
    <cellStyle name="_Column1_Sw98_04" xfId="2256"/>
    <cellStyle name="_Column2" xfId="2257"/>
    <cellStyle name="_Column2_Sw98_04" xfId="2258"/>
    <cellStyle name="_Column3" xfId="2259"/>
    <cellStyle name="_Column3_Sw98_04" xfId="2260"/>
    <cellStyle name="_Column4" xfId="2261"/>
    <cellStyle name="_Column4_Sw98_04" xfId="2262"/>
    <cellStyle name="_Column5" xfId="2263"/>
    <cellStyle name="_Column5_Sw98_04" xfId="2264"/>
    <cellStyle name="_Column6" xfId="2265"/>
    <cellStyle name="_Column6_Sw98_04" xfId="2266"/>
    <cellStyle name="_Column7" xfId="2267"/>
    <cellStyle name="_Column7_Sw98_04" xfId="2268"/>
    <cellStyle name="_Comma" xfId="37"/>
    <cellStyle name="_Comma_03 Financial Projections" xfId="2269"/>
    <cellStyle name="_Comma_3-19 In Progress Model" xfId="2594"/>
    <cellStyle name="_Comma_Backup_Orange Financial Projections" xfId="2270"/>
    <cellStyle name="_Comma_BCP Model" xfId="2271"/>
    <cellStyle name="_Comma_Book1" xfId="2272"/>
    <cellStyle name="_Comma_Book1_1" xfId="2273"/>
    <cellStyle name="_Comma_Canon CapIQ linked v1" xfId="38"/>
    <cellStyle name="_Comma_Canon CapIQ linked v1_sum" xfId="2274"/>
    <cellStyle name="_Comma_CapitalIQ - 7.17.06 v4" xfId="39"/>
    <cellStyle name="_Comma_CapitalIQ - 7.17.06 v4_sum" xfId="2275"/>
    <cellStyle name="_Comma_Church's Model" xfId="2276"/>
    <cellStyle name="_Comma_Combined Synergy Presentation" xfId="2277"/>
    <cellStyle name="_Comma_Comparable Company Analysis (version 1)" xfId="40"/>
    <cellStyle name="_Comma_Comparable Company Analysis (version 1)_sum" xfId="2278"/>
    <cellStyle name="_Comma_dcf" xfId="2279"/>
    <cellStyle name="_Comma_DCF Analysis" xfId="41"/>
    <cellStyle name="_Comma_DCF Analysis_sum" xfId="2280"/>
    <cellStyle name="_Comma_DCF_Orange" xfId="2281"/>
    <cellStyle name="_Comma_EMS_Guideline Comps_unlinked" xfId="2282"/>
    <cellStyle name="_Comma_Eric CapIQ unlinked v1" xfId="42"/>
    <cellStyle name="_Comma_Eric CapIQ unlinked v1_sum" xfId="2283"/>
    <cellStyle name="_Comma_Foreign Holdco Base Case 10.25.04" xfId="2284"/>
    <cellStyle name="_Comma_Guideline Comps Set 1_unlinked" xfId="43"/>
    <cellStyle name="_Comma_Guideline Comps Set 1_unlinked_sum" xfId="2285"/>
    <cellStyle name="_Comma_Guideline Comps Set 2_unlinked" xfId="44"/>
    <cellStyle name="_Comma_Guideline Comps Set 2_unlinked_sum" xfId="2286"/>
    <cellStyle name="_Comma_H-G Holdings race car v5 (change dep)" xfId="45"/>
    <cellStyle name="_Comma_H-G Holdings race car v5 (change dep)_Book1" xfId="2287"/>
    <cellStyle name="_Comma_IS by Div 12-00 AC v4" xfId="2288"/>
    <cellStyle name="_Comma_IS by Div 12-01 AC v4" xfId="2289"/>
    <cellStyle name="_Comma_IS by Div 12-02 AC v4" xfId="2290"/>
    <cellStyle name="_Comma_IS by Div 12-98 AC v4" xfId="2291"/>
    <cellStyle name="_Comma_IS by Div 12-99 AC v4" xfId="2292"/>
    <cellStyle name="_Comma_IS by Div Summary 1998-2002" xfId="2293"/>
    <cellStyle name="_Comma_Knology Model" xfId="2294"/>
    <cellStyle name="_Comma_lbo_long_model" xfId="46"/>
    <cellStyle name="_Comma_lbo_long_model_sum" xfId="2295"/>
    <cellStyle name="_Comma_Map of LTM" xfId="2296"/>
    <cellStyle name="_Comma_MCSM v57" xfId="2297"/>
    <cellStyle name="_Comma_Medicis WACC" xfId="47"/>
    <cellStyle name="_Comma_Medicis WACC_sum" xfId="2298"/>
    <cellStyle name="_Comma_Meggitt AirDynamics WACC" xfId="48"/>
    <cellStyle name="_Comma_Meggitt AirDynamics WACC_sum" xfId="2299"/>
    <cellStyle name="_Comma_Model Assumptions" xfId="2300"/>
    <cellStyle name="_Comma_Model Assumptions (2)" xfId="2301"/>
    <cellStyle name="_Comma_Model Assumptions 11-10-2003" xfId="2302"/>
    <cellStyle name="_Comma_Monarch Capital Structure Model v22 (ac)" xfId="2303"/>
    <cellStyle name="_Comma_NIKE checkpoints" xfId="2595"/>
    <cellStyle name="_Comma_Orange Credit Comp" xfId="2304"/>
    <cellStyle name="_Comma_P&amp;FP IG 2Q02 Comps" xfId="2305"/>
    <cellStyle name="_Comma_PW Access Revenue" xfId="2306"/>
    <cellStyle name="_Comma_Q1 Update (3-28-05)" xfId="2307"/>
    <cellStyle name="_Comma_Revised Basic Modelv2.4" xfId="49"/>
    <cellStyle name="_Comma_Revised Basic Modelv2.4_sum" xfId="2308"/>
    <cellStyle name="_Comma_Robert pages" xfId="2309"/>
    <cellStyle name="_Comma_Rosedale Medical - VAMS v3" xfId="2310"/>
    <cellStyle name="_Comma_Rosedale Medical Market Model v4" xfId="2311"/>
    <cellStyle name="_Comma_S&amp;S Model" xfId="2312"/>
    <cellStyle name="_Comma_Sensitivity Case Comparison" xfId="2313"/>
    <cellStyle name="_Comma_Sept 30 2007 TTM Financial Information" xfId="2314"/>
    <cellStyle name="_Comma_Sheet3" xfId="2315"/>
    <cellStyle name="_Comma_sponsor case" xfId="2316"/>
    <cellStyle name="_Comma_sum of parts valuation" xfId="2317"/>
    <cellStyle name="_Comma_suppl to integrated" xfId="2318"/>
    <cellStyle name="_Comma_Synergy Analysis" xfId="2319"/>
    <cellStyle name="_Comma_Synergy Analysis_co-advisors" xfId="2320"/>
    <cellStyle name="_Comma_Synergy Calc 1.1 rev 5-yr aug high1_bpace" xfId="2321"/>
    <cellStyle name="_Comma_Synergy Detail _gs" xfId="2322"/>
    <cellStyle name="_Comma_Updated Model - CapitalIQ3" xfId="50"/>
    <cellStyle name="_Comma_Updated Model - CapitalIQ3_sum" xfId="2323"/>
    <cellStyle name="_Comma_US Holdco Tax Model v2" xfId="2324"/>
    <cellStyle name="_Comma_Veeco Guideline Comps" xfId="51"/>
    <cellStyle name="_Comma_Veeco Guideline Comps_sum" xfId="2325"/>
    <cellStyle name="_Comma_WACCv2" xfId="52"/>
    <cellStyle name="_Comma_WACCv2_sum" xfId="2326"/>
    <cellStyle name="_Comma_WEDC DSD Guideline Comps" xfId="53"/>
    <cellStyle name="_Comma_WEDC DSD Guideline Comps_sum" xfId="2327"/>
    <cellStyle name="_Commercial BPS Capex - Q2-to Dallas-v21" xfId="2328"/>
    <cellStyle name="_Commercial BPS Capex - Q2-to Dallas-v4" xfId="2329"/>
    <cellStyle name="_Cowboy DCF v11 09-27-06 (Final)-KH" xfId="2330"/>
    <cellStyle name="_Currency" xfId="54"/>
    <cellStyle name="_Currency_03 Financial Projections" xfId="2331"/>
    <cellStyle name="_Currency_08 FB &amp; Milan IS" xfId="2332"/>
    <cellStyle name="_Currency_3-19 In Progress Model" xfId="2596"/>
    <cellStyle name="_Currency_3-19 In Progress Model_LTM Schedule 01 31 08" xfId="2597"/>
    <cellStyle name="_Currency_Backup_Orange Financial Projections" xfId="2333"/>
    <cellStyle name="_Currency_BCP Model" xfId="2334"/>
    <cellStyle name="_Currency_Book1" xfId="2335"/>
    <cellStyle name="_Currency_Book3" xfId="2336"/>
    <cellStyle name="_Currency_Canon CapIQ linked v1" xfId="55"/>
    <cellStyle name="_Currency_CapitalIQ - 7.17.06 v4" xfId="56"/>
    <cellStyle name="_Currency_Church's Model" xfId="2337"/>
    <cellStyle name="_Currency_Combined Synergy Presentation" xfId="2338"/>
    <cellStyle name="_Currency_Comparable Company Analysis (version 1)" xfId="57"/>
    <cellStyle name="_Currency_Contrib_by_mill" xfId="2339"/>
    <cellStyle name="_Currency_dcf" xfId="2340"/>
    <cellStyle name="_Currency_DCF Analysis" xfId="58"/>
    <cellStyle name="_Currency_DCF_Orange" xfId="2341"/>
    <cellStyle name="_Currency_EMS_Guideline Comps_unlinked" xfId="2342"/>
    <cellStyle name="_Currency_Eric CapIQ unlinked v1" xfId="59"/>
    <cellStyle name="_Currency_Foreign Holdco Base Case 10.25.04" xfId="2343"/>
    <cellStyle name="_Currency_Guideline Comps Set 1_unlinked" xfId="60"/>
    <cellStyle name="_Currency_Guideline Comps Set 2_unlinked" xfId="61"/>
    <cellStyle name="_Currency_H-G Holdings race car v5 (change dep)" xfId="62"/>
    <cellStyle name="_Currency_integrated_merger" xfId="2598"/>
    <cellStyle name="_Currency_IS by Div 12-00 AC v4" xfId="2344"/>
    <cellStyle name="_Currency_IS by Div 12-01 AC v4" xfId="2345"/>
    <cellStyle name="_Currency_IS by Div 12-02 AC v4" xfId="2346"/>
    <cellStyle name="_Currency_IS by Div 12-98 AC v4" xfId="2347"/>
    <cellStyle name="_Currency_IS by Div 12-99 AC v4" xfId="2348"/>
    <cellStyle name="_Currency_IS by Div Summary 1998-2002" xfId="2349"/>
    <cellStyle name="_Currency_Knology Model" xfId="2350"/>
    <cellStyle name="_Currency_lbo_long_model" xfId="63"/>
    <cellStyle name="_Currency_Map of LTM" xfId="2351"/>
    <cellStyle name="_Currency_MCSM v57" xfId="2352"/>
    <cellStyle name="_Currency_Medicis WACC" xfId="64"/>
    <cellStyle name="_Currency_Meggitt AirDynamics WACC" xfId="65"/>
    <cellStyle name="_Currency_Model Assumptions" xfId="2353"/>
    <cellStyle name="_Currency_Model Assumptions (2)" xfId="2354"/>
    <cellStyle name="_Currency_Model Assumptions 11-10-2003" xfId="2355"/>
    <cellStyle name="_Currency_Monarch Capital Structure Model v22 (ac)" xfId="2356"/>
    <cellStyle name="_Currency_NIKE checkpoints" xfId="2599"/>
    <cellStyle name="_Currency_Orange Credit Comp" xfId="2357"/>
    <cellStyle name="_Currency_P&amp;FP IG 2Q02 Comps" xfId="2358"/>
    <cellStyle name="_Currency_P&amp;N Quarterly Consolidated02" xfId="2359"/>
    <cellStyle name="_Currency_personal" xfId="2360"/>
    <cellStyle name="_Currency_pi5" xfId="2361"/>
    <cellStyle name="_Currency_PW Access Revenue" xfId="2362"/>
    <cellStyle name="_Currency_Q1 Update (3-28-05)" xfId="2363"/>
    <cellStyle name="_Currency_Revised Basic Modelv2.4" xfId="66"/>
    <cellStyle name="_Currency_Riviera_v4 Sponsors" xfId="2364"/>
    <cellStyle name="_Currency_Robert pages" xfId="2365"/>
    <cellStyle name="_Currency_Rosedale Medical - VAMS v3" xfId="2366"/>
    <cellStyle name="_Currency_Rosedale Medical Market Model v4" xfId="2367"/>
    <cellStyle name="_Currency_S&amp;S Model" xfId="2368"/>
    <cellStyle name="_Currency_Sensitivity Case Comparison" xfId="2369"/>
    <cellStyle name="_Currency_Sept 30 2007 TTM Financial Information" xfId="2370"/>
    <cellStyle name="_Currency_Sheet3" xfId="2371"/>
    <cellStyle name="_Currency_sponsor case" xfId="2372"/>
    <cellStyle name="_Currency_sum of parts valuation" xfId="2373"/>
    <cellStyle name="_Currency_suppl to integrated" xfId="2374"/>
    <cellStyle name="_Currency_surbid4 cloture" xfId="2375"/>
    <cellStyle name="_Currency_surbid4 cloture_1" xfId="2376"/>
    <cellStyle name="_Currency_Synergy Analysis" xfId="2377"/>
    <cellStyle name="_Currency_Synergy Analysis_co-advisors" xfId="2378"/>
    <cellStyle name="_Currency_Synergy Calc 1.1 rev 5-yr aug high1_bpace" xfId="2379"/>
    <cellStyle name="_Currency_Synergy Detail _gs" xfId="2380"/>
    <cellStyle name="_Currency_tropicos5" xfId="2381"/>
    <cellStyle name="_Currency_Updated Model - CapitalIQ3" xfId="67"/>
    <cellStyle name="_Currency_US Holdco Tax Model v2" xfId="2382"/>
    <cellStyle name="_Currency_Veeco Guideline Comps" xfId="68"/>
    <cellStyle name="_Currency_voice1.xls Chart 1" xfId="2383"/>
    <cellStyle name="_Currency_WACCv2" xfId="69"/>
    <cellStyle name="_Currency_WEDC DSD Guideline Comps" xfId="70"/>
    <cellStyle name="_CurrencySpace" xfId="71"/>
    <cellStyle name="_CurrencySpace_03 Financial Projections" xfId="2384"/>
    <cellStyle name="_CurrencySpace_3-19 In Progress Model" xfId="2600"/>
    <cellStyle name="_CurrencySpace_Backup_Orange Financial Projections" xfId="2385"/>
    <cellStyle name="_CurrencySpace_BCP Model" xfId="2386"/>
    <cellStyle name="_CurrencySpace_Book1" xfId="2387"/>
    <cellStyle name="_CurrencySpace_Book1_Book1" xfId="2388"/>
    <cellStyle name="_CurrencySpace_Canon CapIQ linked v1" xfId="72"/>
    <cellStyle name="_CurrencySpace_CapitalIQ - 7.17.06 v4" xfId="73"/>
    <cellStyle name="_CurrencySpace_Church's Model" xfId="2389"/>
    <cellStyle name="_CurrencySpace_Combined Synergy Presentation" xfId="2390"/>
    <cellStyle name="_CurrencySpace_Comparable Company Analysis (version 1)" xfId="74"/>
    <cellStyle name="_CurrencySpace_dcf" xfId="2391"/>
    <cellStyle name="_CurrencySpace_DCF Analysis" xfId="75"/>
    <cellStyle name="_CurrencySpace_DCF_Orange" xfId="2392"/>
    <cellStyle name="_CurrencySpace_EMS_Guideline Comps_unlinked" xfId="2393"/>
    <cellStyle name="_CurrencySpace_Eric CapIQ unlinked v1" xfId="76"/>
    <cellStyle name="_CurrencySpace_Foreign Holdco Base Case 10.25.04" xfId="2394"/>
    <cellStyle name="_CurrencySpace_Guideline Comps Set 1_unlinked" xfId="77"/>
    <cellStyle name="_CurrencySpace_Guideline Comps Set 2_unlinked" xfId="78"/>
    <cellStyle name="_CurrencySpace_H-G Holdings race car v5 (change dep)" xfId="79"/>
    <cellStyle name="_CurrencySpace_integrated_merger" xfId="2601"/>
    <cellStyle name="_CurrencySpace_IS by Div 12-00 AC v4" xfId="2395"/>
    <cellStyle name="_CurrencySpace_IS by Div 12-01 AC v4" xfId="2396"/>
    <cellStyle name="_CurrencySpace_IS by Div 12-02 AC v4" xfId="2397"/>
    <cellStyle name="_CurrencySpace_IS by Div 12-98 AC v4" xfId="2398"/>
    <cellStyle name="_CurrencySpace_IS by Div 12-99 AC v4" xfId="2399"/>
    <cellStyle name="_CurrencySpace_IS by Div Summary 1998-2002" xfId="2400"/>
    <cellStyle name="_CurrencySpace_Knology Model" xfId="2401"/>
    <cellStyle name="_CurrencySpace_lbo_long_model" xfId="80"/>
    <cellStyle name="_CurrencySpace_Map of LTM" xfId="2402"/>
    <cellStyle name="_CurrencySpace_MCSM v57" xfId="2403"/>
    <cellStyle name="_CurrencySpace_Medicis WACC" xfId="81"/>
    <cellStyle name="_CurrencySpace_Meggitt AirDynamics WACC" xfId="82"/>
    <cellStyle name="_CurrencySpace_Model Assumptions" xfId="2404"/>
    <cellStyle name="_CurrencySpace_Model Assumptions (2)" xfId="2405"/>
    <cellStyle name="_CurrencySpace_Model Assumptions 11-10-2003" xfId="2406"/>
    <cellStyle name="_CurrencySpace_Monarch Capital Structure Model v22 (ac)" xfId="2407"/>
    <cellStyle name="_CurrencySpace_NIKE checkpoints" xfId="2602"/>
    <cellStyle name="_CurrencySpace_Orange Credit Comp" xfId="2408"/>
    <cellStyle name="_CurrencySpace_P&amp;FP IG 2Q02 Comps" xfId="2409"/>
    <cellStyle name="_CurrencySpace_personal" xfId="2410"/>
    <cellStyle name="_CurrencySpace_PW Access Revenue" xfId="2411"/>
    <cellStyle name="_CurrencySpace_Q1 Update (3-28-05)" xfId="2412"/>
    <cellStyle name="_CurrencySpace_Revised Basic Modelv2.4" xfId="83"/>
    <cellStyle name="_CurrencySpace_Robert pages" xfId="2413"/>
    <cellStyle name="_CurrencySpace_Rosedale Medical - VAMS v3" xfId="2414"/>
    <cellStyle name="_CurrencySpace_Rosedale Medical Market Model v4" xfId="2415"/>
    <cellStyle name="_CurrencySpace_S&amp;S Model" xfId="2416"/>
    <cellStyle name="_CurrencySpace_Sensitivity Case Comparison" xfId="2417"/>
    <cellStyle name="_CurrencySpace_Sept 30 2007 TTM Financial Information" xfId="2418"/>
    <cellStyle name="_CurrencySpace_Sheet3" xfId="2419"/>
    <cellStyle name="_CurrencySpace_sponsor case" xfId="2420"/>
    <cellStyle name="_CurrencySpace_sum of parts valuation" xfId="2421"/>
    <cellStyle name="_CurrencySpace_suppl to integrated" xfId="2422"/>
    <cellStyle name="_CurrencySpace_Synergy Analysis" xfId="2423"/>
    <cellStyle name="_CurrencySpace_Synergy Analysis_co-advisors" xfId="2424"/>
    <cellStyle name="_CurrencySpace_Synergy Calc 1.1 rev 5-yr aug high1_bpace" xfId="2425"/>
    <cellStyle name="_CurrencySpace_Synergy Detail _gs" xfId="2426"/>
    <cellStyle name="_CurrencySpace_Updated Model - CapitalIQ3" xfId="84"/>
    <cellStyle name="_CurrencySpace_US Holdco Tax Model v2" xfId="2427"/>
    <cellStyle name="_CurrencySpace_Veeco Guideline Comps" xfId="85"/>
    <cellStyle name="_CurrencySpace_WACCv2" xfId="86"/>
    <cellStyle name="_CurrencySpace_WEDC DSD Guideline Comps" xfId="87"/>
    <cellStyle name="_Data" xfId="2428"/>
    <cellStyle name="_Data_Sw98_04" xfId="2429"/>
    <cellStyle name="_date" xfId="88"/>
    <cellStyle name="_DCF Santera - Valuation 6_30_05 v.11 - ext dist" xfId="89"/>
    <cellStyle name="_Debt Service" xfId="2430"/>
    <cellStyle name="_Devcon 2007 142 Analysis 4.0" xfId="2431"/>
    <cellStyle name="_Devcon 2007 142 Analysis 4.0 (version 2)" xfId="2432"/>
    <cellStyle name="_Devcon Secuirty 142 1.0" xfId="2433"/>
    <cellStyle name="_Dollar" xfId="2434"/>
    <cellStyle name="_Dollar_7-12 TWC 1" xfId="2435"/>
    <cellStyle name="_Dollar_jons template" xfId="2436"/>
    <cellStyle name="_DSH 2007 Financial Model (May Actual) v6" xfId="2437"/>
    <cellStyle name="_ESA Schedules for Sponsor Group dd update" xfId="2438"/>
    <cellStyle name="_eTelecare 2006 BEV FINAL" xfId="2439"/>
    <cellStyle name="_Euro" xfId="90"/>
    <cellStyle name="_Euro_Book1" xfId="2440"/>
    <cellStyle name="_Euro_Cable_Industry Overview5" xfId="91"/>
    <cellStyle name="_Euro_Cable_Industry Overview5_sum" xfId="2441"/>
    <cellStyle name="_Euro_Gelco Model" xfId="92"/>
    <cellStyle name="_Euro_Gelco Model_sum" xfId="2442"/>
    <cellStyle name="_Euro_IS by Div 12-00 AC v4" xfId="2443"/>
    <cellStyle name="_Euro_IS by Div 12-01 AC v4" xfId="2444"/>
    <cellStyle name="_Euro_IS by Div 12-02 AC v4" xfId="2445"/>
    <cellStyle name="_Euro_IS by Div 12-98 AC v4" xfId="2446"/>
    <cellStyle name="_Euro_IS by Div 12-99 AC v4" xfId="2447"/>
    <cellStyle name="_Euro_IS by Div Summary 1998-2002" xfId="2448"/>
    <cellStyle name="_Euro_Knology Model" xfId="2449"/>
    <cellStyle name="_Euro_LTM Schedule 01 31 08" xfId="2603"/>
    <cellStyle name="_Euro_Mar Financials" xfId="2604"/>
    <cellStyle name="_Euro_Model Assumptions" xfId="2450"/>
    <cellStyle name="_Euro_Model Assumptions (2)" xfId="2451"/>
    <cellStyle name="_Euro_New Quick Cash Flow Model _v10" xfId="2452"/>
    <cellStyle name="_Euro_PW Access Revenue" xfId="2453"/>
    <cellStyle name="_Euro_Sept 30 2007 TTM Financial Information" xfId="2454"/>
    <cellStyle name="_Euro_September Financials - Bank" xfId="2605"/>
    <cellStyle name="_Euro_sum" xfId="2455"/>
    <cellStyle name="_Euro_Summary" xfId="93"/>
    <cellStyle name="_Euro_Summary_sum" xfId="2456"/>
    <cellStyle name="_Exhibits for 10-24-05" xfId="2457"/>
    <cellStyle name="_FS 2005 (USA)" xfId="94"/>
    <cellStyle name="_GBP" xfId="95"/>
    <cellStyle name="_GBP_Bayford Analysis 7.0" xfId="2458"/>
    <cellStyle name="_GBP_CH Jones Analysis FINAL" xfId="2459"/>
    <cellStyle name="_GBP_Respond SFAS 141 v1.2" xfId="2460"/>
    <cellStyle name="_GBP_sum" xfId="2461"/>
    <cellStyle name="_Guideline Comps Set 1_unlinked" xfId="96"/>
    <cellStyle name="_Guideline Comps Set 2_unlinked" xfId="97"/>
    <cellStyle name="_Header" xfId="2462"/>
    <cellStyle name="_Header_Sw98_04" xfId="2463"/>
    <cellStyle name="_Heading" xfId="98"/>
    <cellStyle name="_Heading_02 Charts_NDC" xfId="2464"/>
    <cellStyle name="_Heading_03 Financial Projections" xfId="2465"/>
    <cellStyle name="_Heading_20051229 CVO Contract (V1) (2)" xfId="2466"/>
    <cellStyle name="_Heading_Accel Potentail PA Impacts v2" xfId="2467"/>
    <cellStyle name="_Heading_Backup_Orange Financial Projections" xfId="2468"/>
    <cellStyle name="_Heading_BCP Model" xfId="2469"/>
    <cellStyle name="_Heading_Book1" xfId="2470"/>
    <cellStyle name="_Heading_IS by Div 12-00 AC v4" xfId="2471"/>
    <cellStyle name="_Heading_IS by Div 12-01 AC v4" xfId="2472"/>
    <cellStyle name="_Heading_IS by Div 12-02 AC v4" xfId="2473"/>
    <cellStyle name="_Heading_IS by Div 12-98 AC v4" xfId="2474"/>
    <cellStyle name="_Heading_IS by Div 12-99 AC v4" xfId="2475"/>
    <cellStyle name="_Heading_IS by Div Summary 1998-2002" xfId="2476"/>
    <cellStyle name="_Heading_lbo_long_model" xfId="99"/>
    <cellStyle name="_Heading_MCSM v57" xfId="2477"/>
    <cellStyle name="_Heading_Model Assumptions 11-10-2003" xfId="2478"/>
    <cellStyle name="_Heading_Monarch Capital Structure Model v22 (ac)" xfId="2479"/>
    <cellStyle name="_Heading_Onyx LBO 11-09-05 v19 w taxes2 and purchase acctgv4" xfId="2480"/>
    <cellStyle name="_Heading_Orange Credit Comp" xfId="2481"/>
    <cellStyle name="_Heading_PFP IG 2Q02 Comps" xfId="2482"/>
    <cellStyle name="_Heading_prestemp" xfId="100"/>
    <cellStyle name="_Heading_Project Accel Report Schedules 12-16" xfId="2483"/>
    <cellStyle name="_Heading_Public Debt Exception" xfId="2484"/>
    <cellStyle name="_Heading_Sept 30 2007 TTM Financial Information" xfId="2485"/>
    <cellStyle name="_Heading_sponsor case" xfId="2486"/>
    <cellStyle name="_Heading_sum of parts valuation" xfId="2487"/>
    <cellStyle name="_Heading_suppl to integrated" xfId="2488"/>
    <cellStyle name="_Heading_Watts Model desktop" xfId="2489"/>
    <cellStyle name="_Heading_Watts Model v11" xfId="2490"/>
    <cellStyle name="_Headline" xfId="2491"/>
    <cellStyle name="_Highlight" xfId="101"/>
    <cellStyle name="_Highlight_Book1" xfId="2492"/>
    <cellStyle name="_Highlight_IS by Div 12-00 AC v4" xfId="2493"/>
    <cellStyle name="_Highlight_IS by Div 12-01 AC v4" xfId="2494"/>
    <cellStyle name="_Highlight_IS by Div 12-02 AC v4" xfId="2495"/>
    <cellStyle name="_Highlight_IS by Div 12-98 AC v4" xfId="2496"/>
    <cellStyle name="_Highlight_IS by Div 12-99 AC v4" xfId="2497"/>
    <cellStyle name="_Highlight_IS by Div Summary 1998-2002" xfId="2498"/>
    <cellStyle name="_InfoGenesis May 2006 BEV 2.0" xfId="102"/>
    <cellStyle name="_IP (DRAFT) v1" xfId="2499"/>
    <cellStyle name="_IP (DRAFT) v6" xfId="2500"/>
    <cellStyle name="_JH_142_Model_v0.2" xfId="2501"/>
    <cellStyle name="_LBO Model  - TPG - 13 June 20041" xfId="2502"/>
    <cellStyle name="_LBO Model  - TPG - 13 June 20041_ESA Schedules for Sponsor Group dd update" xfId="2503"/>
    <cellStyle name="_LBO Model  - TPG - 13 June 20041_Non-Op" xfId="2504"/>
    <cellStyle name="_LBO Model  - TPG - 13 June 20041_PF EBITDA Analysis" xfId="2505"/>
    <cellStyle name="_LIBOR" xfId="103"/>
    <cellStyle name="_LIBOR_IRR grid" xfId="2506"/>
    <cellStyle name="_LIBOR_IRR Model" xfId="104"/>
    <cellStyle name="_LIBOR_IRR Model_sum" xfId="2507"/>
    <cellStyle name="_LIBOR_IRR_ReturnsBlend6-21" xfId="2508"/>
    <cellStyle name="_LIBOR_Mesa_Irr Grid" xfId="105"/>
    <cellStyle name="_LIBOR_Mesa_Irr Grid_sum" xfId="2509"/>
    <cellStyle name="_LIBOR_Monotype QCF Sizing Analysis" xfId="2510"/>
    <cellStyle name="_LIBOR_Monotype Sizing Pricing" xfId="2511"/>
    <cellStyle name="_LIBOR_sum" xfId="2512"/>
    <cellStyle name="_mBal Acquisition Workpaper 12-06-08 (Navigant)" xfId="2513"/>
    <cellStyle name="_MCSM v57" xfId="2514"/>
    <cellStyle name="_Medicis WACC" xfId="106"/>
    <cellStyle name="_MemoHead" xfId="107"/>
    <cellStyle name="_MemoSubHead" xfId="108"/>
    <cellStyle name="_Mgame FinStats 030508" xfId="109"/>
    <cellStyle name="_Monthly NI" xfId="2515"/>
    <cellStyle name="_Multiple" xfId="110"/>
    <cellStyle name="_Multiple_03 Financial Projections" xfId="2516"/>
    <cellStyle name="_Multiple_3-19 In Progress Model" xfId="2606"/>
    <cellStyle name="_Multiple_7-12 TWC 1" xfId="2517"/>
    <cellStyle name="_Multiple_AdelphiaFinancialSummary_25" xfId="2518"/>
    <cellStyle name="_Multiple_Backup_Orange Financial Projections" xfId="2519"/>
    <cellStyle name="_Multiple_BCP Model" xfId="2520"/>
    <cellStyle name="_Multiple_Book1" xfId="2521"/>
    <cellStyle name="_Multiple_Cable_Industry Overview5" xfId="111"/>
    <cellStyle name="_Multiple_Canon CapIQ linked v1" xfId="112"/>
    <cellStyle name="_Multiple_CapitalIQ - 7.17.06 v4" xfId="113"/>
    <cellStyle name="_Multiple_Church's Model" xfId="2522"/>
    <cellStyle name="_Multiple_Combined Synergy Presentation" xfId="2523"/>
    <cellStyle name="_Multiple_Comparable Company Analysis (version 1)" xfId="114"/>
    <cellStyle name="_Multiple_csc" xfId="2524"/>
    <cellStyle name="_Multiple_dcf" xfId="2525"/>
    <cellStyle name="_Multiple_DCF Analysis" xfId="115"/>
    <cellStyle name="_Multiple_DCF_Orange" xfId="2526"/>
    <cellStyle name="_Multiple_EMS_Guideline Comps_unlinked" xfId="2527"/>
    <cellStyle name="_Multiple_Eric CapIQ unlinked v1" xfId="116"/>
    <cellStyle name="_Multiple_Foreign Holdco Base Case 10.25.04" xfId="2528"/>
    <cellStyle name="_Multiple_Gelco Model" xfId="117"/>
    <cellStyle name="_Multiple_Guideline Comps Set 1_unlinked" xfId="118"/>
    <cellStyle name="_Multiple_Guideline Comps Set 2_unlinked" xfId="119"/>
    <cellStyle name="_Multiple_H-G Holdings race car v5 (change dep)" xfId="120"/>
    <cellStyle name="_Multiple_IS by Div 12-00 AC v4" xfId="2529"/>
    <cellStyle name="_Multiple_IS by Div 12-01 AC v4" xfId="2530"/>
    <cellStyle name="_Multiple_IS by Div 12-02 AC v4" xfId="2531"/>
    <cellStyle name="_Multiple_IS by Div 12-98 AC v4" xfId="2532"/>
    <cellStyle name="_Multiple_IS by Div 12-99 AC v4" xfId="2533"/>
    <cellStyle name="_Multiple_IS by Div Summary 1998-2002" xfId="2534"/>
    <cellStyle name="_Multiple_jons template" xfId="2535"/>
    <cellStyle name="_Multiple_Knology Model" xfId="2536"/>
    <cellStyle name="_Multiple_lbo_long_model" xfId="121"/>
    <cellStyle name="_Multiple_LTM Schedule 01 31 08" xfId="2607"/>
    <cellStyle name="_Multiple_Map of LTM" xfId="2537"/>
    <cellStyle name="_Multiple_Mar Financials" xfId="2608"/>
    <cellStyle name="_Multiple_MCSM v57" xfId="2538"/>
    <cellStyle name="_Multiple_Medicis WACC" xfId="122"/>
    <cellStyle name="_Multiple_Meggitt AirDynamics WACC" xfId="123"/>
    <cellStyle name="_Multiple_Model Assumptions" xfId="2539"/>
    <cellStyle name="_Multiple_Model Assumptions (2)" xfId="2540"/>
    <cellStyle name="_Multiple_Model Assumptions 11-10-2003" xfId="2541"/>
    <cellStyle name="_Multiple_Monarch Capital Structure Model v22 (ac)" xfId="2542"/>
    <cellStyle name="_Multiple_New Quick Cash Flow Model _v10" xfId="2543"/>
    <cellStyle name="_Multiple_NIKE checkpoints" xfId="2609"/>
    <cellStyle name="_Multiple_Orange Credit Comp" xfId="2544"/>
    <cellStyle name="_Multiple_P&amp;FP IG 2Q02 Comps" xfId="2545"/>
    <cellStyle name="_Multiple_pi5" xfId="2546"/>
    <cellStyle name="_Multiple_PW Access Revenue" xfId="2547"/>
    <cellStyle name="_Multiple_Q1 Update (3-28-05)" xfId="2548"/>
    <cellStyle name="_Multiple_Revised Basic Modelv2.4" xfId="124"/>
    <cellStyle name="_Multiple_Riviera_v4 Sponsors" xfId="2549"/>
    <cellStyle name="_Multiple_Robert pages" xfId="2550"/>
    <cellStyle name="_Multiple_Rosedale Medical - VAMS v3" xfId="2551"/>
    <cellStyle name="_Multiple_Rosedale Medical Market Model v4" xfId="2552"/>
    <cellStyle name="_Multiple_S&amp;S Model" xfId="2553"/>
    <cellStyle name="_Multiple_Sensitivity Case Comparison" xfId="2554"/>
    <cellStyle name="_Multiple_Sept 30 2007 TTM Financial Information" xfId="2555"/>
    <cellStyle name="_Multiple_September Financials - Bank" xfId="2610"/>
    <cellStyle name="_Multiple_Sheet3" xfId="2556"/>
    <cellStyle name="_Multiple_sponsor case" xfId="2557"/>
    <cellStyle name="_Multiple_sum of parts valuation" xfId="2558"/>
    <cellStyle name="_Multiple_Summary" xfId="125"/>
    <cellStyle name="_Multiple_suppl to integrated" xfId="2559"/>
    <cellStyle name="_Multiple_surbid4 cloture" xfId="2560"/>
    <cellStyle name="_Multiple_Updated Model - CapitalIQ3" xfId="126"/>
    <cellStyle name="_Multiple_Veeco Guideline Comps" xfId="127"/>
    <cellStyle name="_Multiple_WACCv2" xfId="128"/>
    <cellStyle name="_Multiple_WEDC DSD Guideline Comps" xfId="129"/>
    <cellStyle name="_Multiple_Yield Tables" xfId="130"/>
    <cellStyle name="_MultipleSpace" xfId="131"/>
    <cellStyle name="_MultipleSpace_Canon CapIQ linked v1" xfId="132"/>
    <cellStyle name="_MultipleSpace_CapitalIQ - 7.17.06 v4" xfId="133"/>
    <cellStyle name="_MultipleSpace_Comparable Company Analysis (version 1)" xfId="134"/>
    <cellStyle name="_MultipleSpace_DCF Analysis" xfId="135"/>
    <cellStyle name="_MultipleSpace_Eric CapIQ unlinked v1" xfId="136"/>
    <cellStyle name="_MultipleSpace_Guideline Comps Set 1_unlinked" xfId="137"/>
    <cellStyle name="_MultipleSpace_Guideline Comps Set 2_unlinked" xfId="138"/>
    <cellStyle name="_MultipleSpace_H-G Holdings race car v5 (change dep)" xfId="139"/>
    <cellStyle name="_MultipleSpace_lbo_long_model" xfId="140"/>
    <cellStyle name="_MultipleSpace_Medicis WACC" xfId="141"/>
    <cellStyle name="_MultipleSpace_Meggitt AirDynamics WACC" xfId="142"/>
    <cellStyle name="_MultipleSpace_Revised Basic Modelv2.4" xfId="143"/>
    <cellStyle name="_MultipleSpace_Updated Model - CapitalIQ3" xfId="144"/>
    <cellStyle name="_MultipleSpace_Veeco Guideline Comps" xfId="145"/>
    <cellStyle name="_MultipleSpace_WACCv2" xfId="146"/>
    <cellStyle name="_MultipleSpace_WEDC DSD Guideline Comps" xfId="147"/>
    <cellStyle name="_Nomos WACC" xfId="148"/>
    <cellStyle name="_Percent" xfId="149"/>
    <cellStyle name="_PercentReal" xfId="150"/>
    <cellStyle name="_PercentReal_Gelco Model" xfId="151"/>
    <cellStyle name="_PercentReal_Gelco Overview_3-11-04" xfId="152"/>
    <cellStyle name="_PercentReal_Indicative Term Sheet" xfId="153"/>
    <cellStyle name="_PercentReal_IRR Summary" xfId="154"/>
    <cellStyle name="_PercentReal_PADD" xfId="155"/>
    <cellStyle name="_PercentSpace" xfId="156"/>
    <cellStyle name="_PG사수수료" xfId="157"/>
    <cellStyle name="_PG사수수료_PG사수수료" xfId="158"/>
    <cellStyle name="_pl" xfId="159"/>
    <cellStyle name="_Sheet1" xfId="160"/>
    <cellStyle name="_SubHeading" xfId="161"/>
    <cellStyle name="_SubHeading_lbo_long_model" xfId="162"/>
    <cellStyle name="_SubHeading_prestemp" xfId="163"/>
    <cellStyle name="_Table" xfId="164"/>
    <cellStyle name="_TableHead" xfId="165"/>
    <cellStyle name="_TableHead_Cable_Industry Overview5" xfId="166"/>
    <cellStyle name="_TableHead_Gelco Model" xfId="167"/>
    <cellStyle name="_TableHead_Summary" xfId="168"/>
    <cellStyle name="_TableHead_Yield Tables" xfId="169"/>
    <cellStyle name="_TableRowHead" xfId="170"/>
    <cellStyle name="_TableRowHead_Gelco Model" xfId="171"/>
    <cellStyle name="_TableRowHead_Summary" xfId="172"/>
    <cellStyle name="_TableSuperHead" xfId="173"/>
    <cellStyle name="_TableSuperHead_Cable_Industry Overview5" xfId="174"/>
    <cellStyle name="_TableSuperHead_Gelco Model" xfId="175"/>
    <cellStyle name="_TableSuperHead_Summary" xfId="176"/>
    <cellStyle name="_TableSuperHead_Yield Tables" xfId="177"/>
    <cellStyle name="_Unaudited Financial Statement for 1Q 2005" xfId="178"/>
    <cellStyle name="_Updated Model - CapitalIQ3" xfId="179"/>
    <cellStyle name="_Veeco 2005 SFAS 142 v13" xfId="180"/>
    <cellStyle name="_Veeco Guideline Comps" xfId="181"/>
    <cellStyle name="_Veeco SFAS 142 &amp; 144 - Oct 2004 - v11" xfId="182"/>
    <cellStyle name="_WEDC 142 Sept 2005- v32" xfId="183"/>
    <cellStyle name="_계정명세(2005년_06월)종합" xfId="184"/>
    <cellStyle name="_반기손익(기간별)" xfId="185"/>
    <cellStyle name="_복사본 계정명세(2005년_03월)-유림" xfId="186"/>
    <cellStyle name="_셀트리온결산보고서" xfId="187"/>
    <cellStyle name="_에이엠티04_일반조서" xfId="188"/>
    <cellStyle name="_월례매출_1_상반기_11월당월 (2)_1월" xfId="189"/>
    <cellStyle name="_유.무형자산" xfId="190"/>
    <cellStyle name="_유니켐01_interim" xfId="191"/>
    <cellStyle name="_유니켐01_wk01" xfId="192"/>
    <cellStyle name="_유니켐02반기A123" xfId="193"/>
    <cellStyle name="_인티즌03반기A123" xfId="194"/>
    <cellStyle name="_인티즌2001-연말" xfId="195"/>
    <cellStyle name="_인티즌2003_wk반기" xfId="1520"/>
    <cellStyle name="_제패02_결산감사" xfId="196"/>
    <cellStyle name="_조직유지_총괄표" xfId="197"/>
    <cellStyle name="_주식매입선택권 정리" xfId="198"/>
    <cellStyle name="_총괄공사대갑 " xfId="199"/>
    <cellStyle name="_큐엔텍01_wk01" xfId="200"/>
    <cellStyle name="_큐엔텍01-수정사항" xfId="201"/>
    <cellStyle name="_큐엔텍2001부채기말" xfId="202"/>
    <cellStyle name="_퇴직충당금" xfId="203"/>
    <cellStyle name="_파펙정산표_2005" xfId="204"/>
    <cellStyle name="_프리스네트02-결산감사" xfId="205"/>
    <cellStyle name="_프리스넷반기AR.A123" xfId="206"/>
    <cellStyle name="_하반기 개발비 산정-최종0210(1)" xfId="207"/>
    <cellStyle name="£ BP" xfId="209"/>
    <cellStyle name="£Currency [0]" xfId="210"/>
    <cellStyle name="£Currency [1]" xfId="211"/>
    <cellStyle name="£Currency [2]" xfId="212"/>
    <cellStyle name="£Currency [p]" xfId="213"/>
    <cellStyle name="£Currency [p2]" xfId="214"/>
    <cellStyle name="£Pounds" xfId="215"/>
    <cellStyle name="¥ JY" xfId="216"/>
    <cellStyle name="=C:\WINNT\SYSTEM32\COMMAND.COM" xfId="208"/>
    <cellStyle name="⥜준_제강원가최종_1" xfId="1110"/>
    <cellStyle name="•W€_Capital Structure" xfId="217"/>
    <cellStyle name="\¦ÏÝÌnCp[N" xfId="2209"/>
    <cellStyle name="0" xfId="218"/>
    <cellStyle name="0_APT 141 101603 ver 51" xfId="219"/>
    <cellStyle name="0_assumption page" xfId="220"/>
    <cellStyle name="0_DCF Santera - Valuation 6_30_05 v.11 - ext dist" xfId="221"/>
    <cellStyle name="0_InfoGenesis May 2006 BEV 2.0" xfId="222"/>
    <cellStyle name="0_Mgame FinStats 030508" xfId="223"/>
    <cellStyle name="0_Nomos WACC" xfId="224"/>
    <cellStyle name="0_Veeco 2005 SFAS 142 v13" xfId="225"/>
    <cellStyle name="0_Veeco SFAS 142 &amp; 144 - Oct 2004 - v11" xfId="226"/>
    <cellStyle name="0_WEDC 142 Sept 2005- v32" xfId="227"/>
    <cellStyle name="0000" xfId="1565"/>
    <cellStyle name="000000" xfId="1566"/>
    <cellStyle name="1" xfId="228"/>
    <cellStyle name="1000s1Place" xfId="229"/>
    <cellStyle name="1998" xfId="1567"/>
    <cellStyle name="1Decimal" xfId="230"/>
    <cellStyle name="¹éºÐÀ²_±âÅ¸" xfId="1568"/>
    <cellStyle name="1MMs1Place" xfId="231"/>
    <cellStyle name="1MMs2Places" xfId="232"/>
    <cellStyle name="1월당월 (2)_1월" xfId="233"/>
    <cellStyle name="2)" xfId="234"/>
    <cellStyle name="20 % - Accent1" xfId="2629"/>
    <cellStyle name="20 % - Accent2" xfId="2630"/>
    <cellStyle name="20 % - Accent3" xfId="2631"/>
    <cellStyle name="20 % - Accent4" xfId="2632"/>
    <cellStyle name="20 % - Accent5" xfId="2633"/>
    <cellStyle name="20 % - Accent6" xfId="2634"/>
    <cellStyle name="20% - Accent1" xfId="235" builtinId="30" customBuiltin="1"/>
    <cellStyle name="20% - Accent1 10" xfId="1569"/>
    <cellStyle name="20% - Accent1 11" xfId="1570"/>
    <cellStyle name="20% - Accent1 12" xfId="1571"/>
    <cellStyle name="20% - Accent1 13" xfId="1572"/>
    <cellStyle name="20% - Accent1 14" xfId="2635"/>
    <cellStyle name="20% - Accent1 15" xfId="2636"/>
    <cellStyle name="20% - Accent1 16" xfId="2637"/>
    <cellStyle name="20% - Accent1 17" xfId="2638"/>
    <cellStyle name="20% - Accent1 18" xfId="2639"/>
    <cellStyle name="20% - Accent1 19" xfId="2640"/>
    <cellStyle name="20% - Accent1 2" xfId="1573"/>
    <cellStyle name="20% - Accent1 2 2" xfId="1574"/>
    <cellStyle name="20% - Accent1 2 2 2" xfId="1575"/>
    <cellStyle name="20% - Accent1 2 3" xfId="1576"/>
    <cellStyle name="20% - Accent1 2 3 2" xfId="1577"/>
    <cellStyle name="20% - Accent1 2 4" xfId="1578"/>
    <cellStyle name="20% - Accent1 2_MedaSTAT &amp; NPUT FA Roll Forward" xfId="1579"/>
    <cellStyle name="20% - Accent1 20" xfId="2641"/>
    <cellStyle name="20% - Accent1 21" xfId="2642"/>
    <cellStyle name="20% - Accent1 22" xfId="2643"/>
    <cellStyle name="20% - Accent1 23" xfId="2644"/>
    <cellStyle name="20% - Accent1 24" xfId="2645"/>
    <cellStyle name="20% - Accent1 25" xfId="2646"/>
    <cellStyle name="20% - Accent1 26" xfId="2647"/>
    <cellStyle name="20% - Accent1 27" xfId="2648"/>
    <cellStyle name="20% - Accent1 28" xfId="2649"/>
    <cellStyle name="20% - Accent1 29" xfId="2650"/>
    <cellStyle name="20% - Accent1 3" xfId="1580"/>
    <cellStyle name="20% - Accent1 3 2" xfId="1581"/>
    <cellStyle name="20% - Accent1 3 2 2" xfId="1582"/>
    <cellStyle name="20% - Accent1 3 3" xfId="1583"/>
    <cellStyle name="20% - Accent1 3 3 2" xfId="1584"/>
    <cellStyle name="20% - Accent1 3 4" xfId="1585"/>
    <cellStyle name="20% - Accent1 30" xfId="2651"/>
    <cellStyle name="20% - Accent1 31" xfId="2652"/>
    <cellStyle name="20% - Accent1 32" xfId="2653"/>
    <cellStyle name="20% - Accent1 33" xfId="2654"/>
    <cellStyle name="20% - Accent1 34" xfId="2655"/>
    <cellStyle name="20% - Accent1 35" xfId="2656"/>
    <cellStyle name="20% - Accent1 36" xfId="2657"/>
    <cellStyle name="20% - Accent1 37" xfId="2658"/>
    <cellStyle name="20% - Accent1 38" xfId="2659"/>
    <cellStyle name="20% - Accent1 39" xfId="2660"/>
    <cellStyle name="20% - Accent1 4" xfId="1586"/>
    <cellStyle name="20% - Accent1 4 2" xfId="1587"/>
    <cellStyle name="20% - Accent1 4 3" xfId="2661"/>
    <cellStyle name="20% - Accent1 40" xfId="2662"/>
    <cellStyle name="20% - Accent1 41" xfId="2663"/>
    <cellStyle name="20% - Accent1 42" xfId="2664"/>
    <cellStyle name="20% - Accent1 43" xfId="2665"/>
    <cellStyle name="20% - Accent1 44" xfId="2666"/>
    <cellStyle name="20% - Accent1 45" xfId="2667"/>
    <cellStyle name="20% - Accent1 46" xfId="2668"/>
    <cellStyle name="20% - Accent1 47" xfId="2669"/>
    <cellStyle name="20% - Accent1 5" xfId="1588"/>
    <cellStyle name="20% - Accent1 5 2" xfId="1589"/>
    <cellStyle name="20% - Accent1 5 3" xfId="2670"/>
    <cellStyle name="20% - Accent1 6" xfId="1590"/>
    <cellStyle name="20% - Accent1 7" xfId="1591"/>
    <cellStyle name="20% - Accent1 8" xfId="1592"/>
    <cellStyle name="20% - Accent1 9" xfId="1593"/>
    <cellStyle name="20% - Accent2" xfId="236" builtinId="34" customBuiltin="1"/>
    <cellStyle name="20% - Accent2 10" xfId="1594"/>
    <cellStyle name="20% - Accent2 11" xfId="1595"/>
    <cellStyle name="20% - Accent2 12" xfId="1596"/>
    <cellStyle name="20% - Accent2 13" xfId="1597"/>
    <cellStyle name="20% - Accent2 14" xfId="2671"/>
    <cellStyle name="20% - Accent2 15" xfId="2672"/>
    <cellStyle name="20% - Accent2 16" xfId="2673"/>
    <cellStyle name="20% - Accent2 17" xfId="2674"/>
    <cellStyle name="20% - Accent2 18" xfId="2675"/>
    <cellStyle name="20% - Accent2 19" xfId="2676"/>
    <cellStyle name="20% - Accent2 2" xfId="1598"/>
    <cellStyle name="20% - Accent2 2 2" xfId="1599"/>
    <cellStyle name="20% - Accent2 2 2 2" xfId="1600"/>
    <cellStyle name="20% - Accent2 2 3" xfId="1601"/>
    <cellStyle name="20% - Accent2 2 3 2" xfId="1602"/>
    <cellStyle name="20% - Accent2 2 4" xfId="1603"/>
    <cellStyle name="20% - Accent2 2_MedaSTAT &amp; NPUT FA Roll Forward" xfId="1604"/>
    <cellStyle name="20% - Accent2 20" xfId="2677"/>
    <cellStyle name="20% - Accent2 21" xfId="2678"/>
    <cellStyle name="20% - Accent2 22" xfId="2679"/>
    <cellStyle name="20% - Accent2 23" xfId="2680"/>
    <cellStyle name="20% - Accent2 24" xfId="2681"/>
    <cellStyle name="20% - Accent2 25" xfId="2682"/>
    <cellStyle name="20% - Accent2 26" xfId="2683"/>
    <cellStyle name="20% - Accent2 27" xfId="2684"/>
    <cellStyle name="20% - Accent2 28" xfId="2685"/>
    <cellStyle name="20% - Accent2 29" xfId="2686"/>
    <cellStyle name="20% - Accent2 3" xfId="1605"/>
    <cellStyle name="20% - Accent2 3 2" xfId="1606"/>
    <cellStyle name="20% - Accent2 3 2 2" xfId="1607"/>
    <cellStyle name="20% - Accent2 3 3" xfId="1608"/>
    <cellStyle name="20% - Accent2 3 3 2" xfId="1609"/>
    <cellStyle name="20% - Accent2 3 4" xfId="1610"/>
    <cellStyle name="20% - Accent2 30" xfId="2687"/>
    <cellStyle name="20% - Accent2 31" xfId="2688"/>
    <cellStyle name="20% - Accent2 32" xfId="2689"/>
    <cellStyle name="20% - Accent2 33" xfId="2690"/>
    <cellStyle name="20% - Accent2 34" xfId="2691"/>
    <cellStyle name="20% - Accent2 35" xfId="2692"/>
    <cellStyle name="20% - Accent2 36" xfId="2693"/>
    <cellStyle name="20% - Accent2 37" xfId="2694"/>
    <cellStyle name="20% - Accent2 38" xfId="2695"/>
    <cellStyle name="20% - Accent2 39" xfId="2696"/>
    <cellStyle name="20% - Accent2 4" xfId="1611"/>
    <cellStyle name="20% - Accent2 4 2" xfId="1612"/>
    <cellStyle name="20% - Accent2 4 3" xfId="2697"/>
    <cellStyle name="20% - Accent2 40" xfId="2698"/>
    <cellStyle name="20% - Accent2 41" xfId="2699"/>
    <cellStyle name="20% - Accent2 42" xfId="2700"/>
    <cellStyle name="20% - Accent2 43" xfId="2701"/>
    <cellStyle name="20% - Accent2 44" xfId="2702"/>
    <cellStyle name="20% - Accent2 45" xfId="2703"/>
    <cellStyle name="20% - Accent2 46" xfId="2704"/>
    <cellStyle name="20% - Accent2 47" xfId="2705"/>
    <cellStyle name="20% - Accent2 5" xfId="1613"/>
    <cellStyle name="20% - Accent2 5 2" xfId="1614"/>
    <cellStyle name="20% - Accent2 5 3" xfId="2706"/>
    <cellStyle name="20% - Accent2 6" xfId="1615"/>
    <cellStyle name="20% - Accent2 7" xfId="1616"/>
    <cellStyle name="20% - Accent2 8" xfId="1617"/>
    <cellStyle name="20% - Accent2 9" xfId="1618"/>
    <cellStyle name="20% - Accent3" xfId="237" builtinId="38" customBuiltin="1"/>
    <cellStyle name="20% - Accent3 10" xfId="1619"/>
    <cellStyle name="20% - Accent3 11" xfId="1620"/>
    <cellStyle name="20% - Accent3 12" xfId="1621"/>
    <cellStyle name="20% - Accent3 13" xfId="1622"/>
    <cellStyle name="20% - Accent3 14" xfId="2707"/>
    <cellStyle name="20% - Accent3 15" xfId="2708"/>
    <cellStyle name="20% - Accent3 16" xfId="2709"/>
    <cellStyle name="20% - Accent3 17" xfId="2710"/>
    <cellStyle name="20% - Accent3 18" xfId="2711"/>
    <cellStyle name="20% - Accent3 19" xfId="2712"/>
    <cellStyle name="20% - Accent3 2" xfId="1623"/>
    <cellStyle name="20% - Accent3 2 2" xfId="1624"/>
    <cellStyle name="20% - Accent3 2 2 2" xfId="1625"/>
    <cellStyle name="20% - Accent3 2 3" xfId="1626"/>
    <cellStyle name="20% - Accent3 2 3 2" xfId="1627"/>
    <cellStyle name="20% - Accent3 2 4" xfId="1628"/>
    <cellStyle name="20% - Accent3 2_MedaSTAT &amp; NPUT FA Roll Forward" xfId="1629"/>
    <cellStyle name="20% - Accent3 20" xfId="2713"/>
    <cellStyle name="20% - Accent3 21" xfId="2714"/>
    <cellStyle name="20% - Accent3 22" xfId="2715"/>
    <cellStyle name="20% - Accent3 23" xfId="2716"/>
    <cellStyle name="20% - Accent3 24" xfId="2717"/>
    <cellStyle name="20% - Accent3 25" xfId="2718"/>
    <cellStyle name="20% - Accent3 26" xfId="2719"/>
    <cellStyle name="20% - Accent3 27" xfId="2720"/>
    <cellStyle name="20% - Accent3 28" xfId="2721"/>
    <cellStyle name="20% - Accent3 29" xfId="2722"/>
    <cellStyle name="20% - Accent3 3" xfId="1630"/>
    <cellStyle name="20% - Accent3 3 2" xfId="1631"/>
    <cellStyle name="20% - Accent3 3 2 2" xfId="1632"/>
    <cellStyle name="20% - Accent3 3 3" xfId="1633"/>
    <cellStyle name="20% - Accent3 3 3 2" xfId="1634"/>
    <cellStyle name="20% - Accent3 3 4" xfId="1635"/>
    <cellStyle name="20% - Accent3 30" xfId="2723"/>
    <cellStyle name="20% - Accent3 31" xfId="2724"/>
    <cellStyle name="20% - Accent3 32" xfId="2725"/>
    <cellStyle name="20% - Accent3 33" xfId="2726"/>
    <cellStyle name="20% - Accent3 34" xfId="2727"/>
    <cellStyle name="20% - Accent3 35" xfId="2728"/>
    <cellStyle name="20% - Accent3 36" xfId="2729"/>
    <cellStyle name="20% - Accent3 37" xfId="2730"/>
    <cellStyle name="20% - Accent3 38" xfId="2731"/>
    <cellStyle name="20% - Accent3 39" xfId="2732"/>
    <cellStyle name="20% - Accent3 4" xfId="1636"/>
    <cellStyle name="20% - Accent3 4 2" xfId="1637"/>
    <cellStyle name="20% - Accent3 4 3" xfId="2733"/>
    <cellStyle name="20% - Accent3 40" xfId="2734"/>
    <cellStyle name="20% - Accent3 41" xfId="2735"/>
    <cellStyle name="20% - Accent3 42" xfId="2736"/>
    <cellStyle name="20% - Accent3 43" xfId="2737"/>
    <cellStyle name="20% - Accent3 44" xfId="2738"/>
    <cellStyle name="20% - Accent3 45" xfId="2739"/>
    <cellStyle name="20% - Accent3 46" xfId="2740"/>
    <cellStyle name="20% - Accent3 47" xfId="2741"/>
    <cellStyle name="20% - Accent3 5" xfId="1638"/>
    <cellStyle name="20% - Accent3 5 2" xfId="1639"/>
    <cellStyle name="20% - Accent3 5 3" xfId="2742"/>
    <cellStyle name="20% - Accent3 6" xfId="1640"/>
    <cellStyle name="20% - Accent3 7" xfId="1641"/>
    <cellStyle name="20% - Accent3 8" xfId="1642"/>
    <cellStyle name="20% - Accent3 9" xfId="1643"/>
    <cellStyle name="20% - Accent4" xfId="238" builtinId="42" customBuiltin="1"/>
    <cellStyle name="20% - Accent4 10" xfId="1644"/>
    <cellStyle name="20% - Accent4 11" xfId="1645"/>
    <cellStyle name="20% - Accent4 12" xfId="1646"/>
    <cellStyle name="20% - Accent4 13" xfId="1647"/>
    <cellStyle name="20% - Accent4 14" xfId="2743"/>
    <cellStyle name="20% - Accent4 15" xfId="2744"/>
    <cellStyle name="20% - Accent4 16" xfId="2745"/>
    <cellStyle name="20% - Accent4 17" xfId="2746"/>
    <cellStyle name="20% - Accent4 18" xfId="2747"/>
    <cellStyle name="20% - Accent4 19" xfId="2748"/>
    <cellStyle name="20% - Accent4 2" xfId="1648"/>
    <cellStyle name="20% - Accent4 2 2" xfId="1649"/>
    <cellStyle name="20% - Accent4 2 2 2" xfId="1650"/>
    <cellStyle name="20% - Accent4 2 3" xfId="1651"/>
    <cellStyle name="20% - Accent4 2 3 2" xfId="1652"/>
    <cellStyle name="20% - Accent4 2 4" xfId="1653"/>
    <cellStyle name="20% - Accent4 2_MedaSTAT &amp; NPUT FA Roll Forward" xfId="1654"/>
    <cellStyle name="20% - Accent4 20" xfId="2749"/>
    <cellStyle name="20% - Accent4 21" xfId="2750"/>
    <cellStyle name="20% - Accent4 22" xfId="2751"/>
    <cellStyle name="20% - Accent4 23" xfId="2752"/>
    <cellStyle name="20% - Accent4 24" xfId="2753"/>
    <cellStyle name="20% - Accent4 25" xfId="2754"/>
    <cellStyle name="20% - Accent4 26" xfId="2755"/>
    <cellStyle name="20% - Accent4 27" xfId="2756"/>
    <cellStyle name="20% - Accent4 28" xfId="2757"/>
    <cellStyle name="20% - Accent4 29" xfId="2758"/>
    <cellStyle name="20% - Accent4 3" xfId="1655"/>
    <cellStyle name="20% - Accent4 3 2" xfId="1656"/>
    <cellStyle name="20% - Accent4 3 2 2" xfId="1657"/>
    <cellStyle name="20% - Accent4 3 3" xfId="1658"/>
    <cellStyle name="20% - Accent4 3 3 2" xfId="1659"/>
    <cellStyle name="20% - Accent4 3 4" xfId="1660"/>
    <cellStyle name="20% - Accent4 30" xfId="2759"/>
    <cellStyle name="20% - Accent4 31" xfId="2760"/>
    <cellStyle name="20% - Accent4 32" xfId="2761"/>
    <cellStyle name="20% - Accent4 33" xfId="2762"/>
    <cellStyle name="20% - Accent4 34" xfId="2763"/>
    <cellStyle name="20% - Accent4 35" xfId="2764"/>
    <cellStyle name="20% - Accent4 36" xfId="2765"/>
    <cellStyle name="20% - Accent4 37" xfId="2766"/>
    <cellStyle name="20% - Accent4 38" xfId="2767"/>
    <cellStyle name="20% - Accent4 39" xfId="2768"/>
    <cellStyle name="20% - Accent4 4" xfId="1661"/>
    <cellStyle name="20% - Accent4 4 2" xfId="1662"/>
    <cellStyle name="20% - Accent4 4 3" xfId="2769"/>
    <cellStyle name="20% - Accent4 40" xfId="2770"/>
    <cellStyle name="20% - Accent4 41" xfId="2771"/>
    <cellStyle name="20% - Accent4 42" xfId="2772"/>
    <cellStyle name="20% - Accent4 43" xfId="2773"/>
    <cellStyle name="20% - Accent4 44" xfId="2774"/>
    <cellStyle name="20% - Accent4 45" xfId="2775"/>
    <cellStyle name="20% - Accent4 46" xfId="2776"/>
    <cellStyle name="20% - Accent4 47" xfId="2777"/>
    <cellStyle name="20% - Accent4 5" xfId="1663"/>
    <cellStyle name="20% - Accent4 5 2" xfId="1664"/>
    <cellStyle name="20% - Accent4 5 3" xfId="2778"/>
    <cellStyle name="20% - Accent4 6" xfId="1665"/>
    <cellStyle name="20% - Accent4 7" xfId="1666"/>
    <cellStyle name="20% - Accent4 8" xfId="1667"/>
    <cellStyle name="20% - Accent4 9" xfId="1668"/>
    <cellStyle name="20% - Accent5" xfId="239" builtinId="46" customBuiltin="1"/>
    <cellStyle name="20% - Accent5 10" xfId="1669"/>
    <cellStyle name="20% - Accent5 11" xfId="1670"/>
    <cellStyle name="20% - Accent5 12" xfId="1671"/>
    <cellStyle name="20% - Accent5 13" xfId="1672"/>
    <cellStyle name="20% - Accent5 14" xfId="2779"/>
    <cellStyle name="20% - Accent5 15" xfId="2780"/>
    <cellStyle name="20% - Accent5 16" xfId="2781"/>
    <cellStyle name="20% - Accent5 17" xfId="2782"/>
    <cellStyle name="20% - Accent5 18" xfId="2783"/>
    <cellStyle name="20% - Accent5 19" xfId="2784"/>
    <cellStyle name="20% - Accent5 2" xfId="1673"/>
    <cellStyle name="20% - Accent5 2 2" xfId="1674"/>
    <cellStyle name="20% - Accent5 2 2 2" xfId="1675"/>
    <cellStyle name="20% - Accent5 2 3" xfId="1676"/>
    <cellStyle name="20% - Accent5 2 3 2" xfId="1677"/>
    <cellStyle name="20% - Accent5 2 4" xfId="1678"/>
    <cellStyle name="20% - Accent5 2_MedaSTAT &amp; NPUT FA Roll Forward" xfId="1679"/>
    <cellStyle name="20% - Accent5 20" xfId="2785"/>
    <cellStyle name="20% - Accent5 21" xfId="2786"/>
    <cellStyle name="20% - Accent5 22" xfId="2787"/>
    <cellStyle name="20% - Accent5 23" xfId="2788"/>
    <cellStyle name="20% - Accent5 24" xfId="2789"/>
    <cellStyle name="20% - Accent5 25" xfId="2790"/>
    <cellStyle name="20% - Accent5 26" xfId="2791"/>
    <cellStyle name="20% - Accent5 27" xfId="2792"/>
    <cellStyle name="20% - Accent5 28" xfId="2793"/>
    <cellStyle name="20% - Accent5 29" xfId="2794"/>
    <cellStyle name="20% - Accent5 3" xfId="1680"/>
    <cellStyle name="20% - Accent5 3 2" xfId="1681"/>
    <cellStyle name="20% - Accent5 3 2 2" xfId="1682"/>
    <cellStyle name="20% - Accent5 3 3" xfId="1683"/>
    <cellStyle name="20% - Accent5 3 3 2" xfId="1684"/>
    <cellStyle name="20% - Accent5 3 4" xfId="1685"/>
    <cellStyle name="20% - Accent5 30" xfId="2795"/>
    <cellStyle name="20% - Accent5 31" xfId="2796"/>
    <cellStyle name="20% - Accent5 32" xfId="2797"/>
    <cellStyle name="20% - Accent5 33" xfId="2798"/>
    <cellStyle name="20% - Accent5 34" xfId="2799"/>
    <cellStyle name="20% - Accent5 35" xfId="2800"/>
    <cellStyle name="20% - Accent5 36" xfId="2801"/>
    <cellStyle name="20% - Accent5 37" xfId="2802"/>
    <cellStyle name="20% - Accent5 38" xfId="2803"/>
    <cellStyle name="20% - Accent5 39" xfId="2804"/>
    <cellStyle name="20% - Accent5 4" xfId="1686"/>
    <cellStyle name="20% - Accent5 4 2" xfId="1687"/>
    <cellStyle name="20% - Accent5 4 3" xfId="2805"/>
    <cellStyle name="20% - Accent5 40" xfId="2806"/>
    <cellStyle name="20% - Accent5 41" xfId="2807"/>
    <cellStyle name="20% - Accent5 42" xfId="2808"/>
    <cellStyle name="20% - Accent5 43" xfId="2809"/>
    <cellStyle name="20% - Accent5 44" xfId="2810"/>
    <cellStyle name="20% - Accent5 45" xfId="2811"/>
    <cellStyle name="20% - Accent5 46" xfId="2812"/>
    <cellStyle name="20% - Accent5 47" xfId="2813"/>
    <cellStyle name="20% - Accent5 5" xfId="1688"/>
    <cellStyle name="20% - Accent5 5 2" xfId="1689"/>
    <cellStyle name="20% - Accent5 5 3" xfId="2814"/>
    <cellStyle name="20% - Accent5 6" xfId="1690"/>
    <cellStyle name="20% - Accent5 7" xfId="1691"/>
    <cellStyle name="20% - Accent5 8" xfId="1692"/>
    <cellStyle name="20% - Accent5 9" xfId="1693"/>
    <cellStyle name="20% - Accent6" xfId="240" builtinId="50" customBuiltin="1"/>
    <cellStyle name="20% - Accent6 10" xfId="1694"/>
    <cellStyle name="20% - Accent6 11" xfId="1695"/>
    <cellStyle name="20% - Accent6 12" xfId="1696"/>
    <cellStyle name="20% - Accent6 13" xfId="1697"/>
    <cellStyle name="20% - Accent6 14" xfId="2815"/>
    <cellStyle name="20% - Accent6 15" xfId="2816"/>
    <cellStyle name="20% - Accent6 16" xfId="2817"/>
    <cellStyle name="20% - Accent6 17" xfId="2818"/>
    <cellStyle name="20% - Accent6 18" xfId="2819"/>
    <cellStyle name="20% - Accent6 19" xfId="2820"/>
    <cellStyle name="20% - Accent6 2" xfId="1698"/>
    <cellStyle name="20% - Accent6 2 2" xfId="1699"/>
    <cellStyle name="20% - Accent6 2 2 2" xfId="1700"/>
    <cellStyle name="20% - Accent6 2 3" xfId="1701"/>
    <cellStyle name="20% - Accent6 2 3 2" xfId="1702"/>
    <cellStyle name="20% - Accent6 2 4" xfId="1703"/>
    <cellStyle name="20% - Accent6 2_MedaSTAT &amp; NPUT FA Roll Forward" xfId="1704"/>
    <cellStyle name="20% - Accent6 20" xfId="2821"/>
    <cellStyle name="20% - Accent6 21" xfId="2822"/>
    <cellStyle name="20% - Accent6 22" xfId="2823"/>
    <cellStyle name="20% - Accent6 23" xfId="2824"/>
    <cellStyle name="20% - Accent6 24" xfId="2825"/>
    <cellStyle name="20% - Accent6 25" xfId="2826"/>
    <cellStyle name="20% - Accent6 26" xfId="2827"/>
    <cellStyle name="20% - Accent6 27" xfId="2828"/>
    <cellStyle name="20% - Accent6 28" xfId="2829"/>
    <cellStyle name="20% - Accent6 29" xfId="2830"/>
    <cellStyle name="20% - Accent6 3" xfId="1705"/>
    <cellStyle name="20% - Accent6 3 2" xfId="1706"/>
    <cellStyle name="20% - Accent6 3 2 2" xfId="1707"/>
    <cellStyle name="20% - Accent6 3 3" xfId="1708"/>
    <cellStyle name="20% - Accent6 3 3 2" xfId="1709"/>
    <cellStyle name="20% - Accent6 3 4" xfId="1710"/>
    <cellStyle name="20% - Accent6 30" xfId="2831"/>
    <cellStyle name="20% - Accent6 31" xfId="2832"/>
    <cellStyle name="20% - Accent6 32" xfId="2833"/>
    <cellStyle name="20% - Accent6 33" xfId="2834"/>
    <cellStyle name="20% - Accent6 34" xfId="2835"/>
    <cellStyle name="20% - Accent6 35" xfId="2836"/>
    <cellStyle name="20% - Accent6 36" xfId="2837"/>
    <cellStyle name="20% - Accent6 37" xfId="2838"/>
    <cellStyle name="20% - Accent6 38" xfId="2839"/>
    <cellStyle name="20% - Accent6 39" xfId="2840"/>
    <cellStyle name="20% - Accent6 4" xfId="1711"/>
    <cellStyle name="20% - Accent6 4 2" xfId="1712"/>
    <cellStyle name="20% - Accent6 4 3" xfId="2841"/>
    <cellStyle name="20% - Accent6 40" xfId="2842"/>
    <cellStyle name="20% - Accent6 41" xfId="2843"/>
    <cellStyle name="20% - Accent6 42" xfId="2844"/>
    <cellStyle name="20% - Accent6 43" xfId="2845"/>
    <cellStyle name="20% - Accent6 44" xfId="2846"/>
    <cellStyle name="20% - Accent6 45" xfId="2847"/>
    <cellStyle name="20% - Accent6 46" xfId="2848"/>
    <cellStyle name="20% - Accent6 47" xfId="2849"/>
    <cellStyle name="20% - Accent6 5" xfId="1713"/>
    <cellStyle name="20% - Accent6 5 2" xfId="1714"/>
    <cellStyle name="20% - Accent6 5 3" xfId="2850"/>
    <cellStyle name="20% - Accent6 6" xfId="1715"/>
    <cellStyle name="20% - Accent6 7" xfId="1716"/>
    <cellStyle name="20% - Accent6 8" xfId="1717"/>
    <cellStyle name="20% - Accent6 9" xfId="1718"/>
    <cellStyle name="20% - Ênfase1" xfId="2851"/>
    <cellStyle name="20% - Ênfase2" xfId="2852"/>
    <cellStyle name="20% - Ênfase3" xfId="2853"/>
    <cellStyle name="20% - Ênfase4" xfId="2854"/>
    <cellStyle name="20% - Ênfase5" xfId="2855"/>
    <cellStyle name="20% - Ênfase6" xfId="2856"/>
    <cellStyle name="20% - Énfasis1 10" xfId="2857"/>
    <cellStyle name="20% - Énfasis1 10 2" xfId="2858"/>
    <cellStyle name="20% - Énfasis1 11" xfId="2859"/>
    <cellStyle name="20% - Énfasis1 11 2" xfId="2860"/>
    <cellStyle name="20% - Énfasis1 12" xfId="2861"/>
    <cellStyle name="20% - Énfasis1 12 2" xfId="2862"/>
    <cellStyle name="20% - Énfasis1 13" xfId="2863"/>
    <cellStyle name="20% - Énfasis1 13 2" xfId="2864"/>
    <cellStyle name="20% - Énfasis1 14" xfId="2865"/>
    <cellStyle name="20% - Énfasis1 14 2" xfId="2866"/>
    <cellStyle name="20% - Énfasis1 15" xfId="2867"/>
    <cellStyle name="20% - Énfasis1 15 2" xfId="2868"/>
    <cellStyle name="20% - Énfasis1 16" xfId="2869"/>
    <cellStyle name="20% - Énfasis1 16 2" xfId="2870"/>
    <cellStyle name="20% - Énfasis1 17" xfId="2871"/>
    <cellStyle name="20% - Énfasis1 17 2" xfId="2872"/>
    <cellStyle name="20% - Énfasis1 18" xfId="2873"/>
    <cellStyle name="20% - Énfasis1 18 2" xfId="2874"/>
    <cellStyle name="20% - Énfasis1 19" xfId="2875"/>
    <cellStyle name="20% - Énfasis1 19 2" xfId="2876"/>
    <cellStyle name="20% - Énfasis1 2" xfId="2877"/>
    <cellStyle name="20% - Énfasis1 2 2" xfId="2878"/>
    <cellStyle name="20% - Énfasis1 20" xfId="2879"/>
    <cellStyle name="20% - Énfasis1 20 2" xfId="2880"/>
    <cellStyle name="20% - Énfasis1 21" xfId="2881"/>
    <cellStyle name="20% - Énfasis1 21 2" xfId="2882"/>
    <cellStyle name="20% - Énfasis1 22" xfId="2883"/>
    <cellStyle name="20% - Énfasis1 22 2" xfId="2884"/>
    <cellStyle name="20% - Énfasis1 23" xfId="2885"/>
    <cellStyle name="20% - Énfasis1 23 2" xfId="2886"/>
    <cellStyle name="20% - Énfasis1 24" xfId="2887"/>
    <cellStyle name="20% - Énfasis1 24 2" xfId="2888"/>
    <cellStyle name="20% - Énfasis1 25" xfId="2889"/>
    <cellStyle name="20% - Énfasis1 25 2" xfId="2890"/>
    <cellStyle name="20% - Énfasis1 26" xfId="2891"/>
    <cellStyle name="20% - Énfasis1 26 2" xfId="2892"/>
    <cellStyle name="20% - Énfasis1 27" xfId="2893"/>
    <cellStyle name="20% - Énfasis1 27 2" xfId="2894"/>
    <cellStyle name="20% - Énfasis1 28" xfId="2895"/>
    <cellStyle name="20% - Énfasis1 28 2" xfId="2896"/>
    <cellStyle name="20% - Énfasis1 29" xfId="2897"/>
    <cellStyle name="20% - Énfasis1 29 2" xfId="2898"/>
    <cellStyle name="20% - Énfasis1 3" xfId="2899"/>
    <cellStyle name="20% - Énfasis1 3 2" xfId="2900"/>
    <cellStyle name="20% - Énfasis1 30" xfId="2901"/>
    <cellStyle name="20% - Énfasis1 30 2" xfId="2902"/>
    <cellStyle name="20% - Énfasis1 31" xfId="2903"/>
    <cellStyle name="20% - Énfasis1 31 2" xfId="2904"/>
    <cellStyle name="20% - Énfasis1 32" xfId="2905"/>
    <cellStyle name="20% - Énfasis1 32 2" xfId="2906"/>
    <cellStyle name="20% - Énfasis1 33" xfId="2907"/>
    <cellStyle name="20% - Énfasis1 33 2" xfId="2908"/>
    <cellStyle name="20% - Énfasis1 34" xfId="2909"/>
    <cellStyle name="20% - Énfasis1 34 2" xfId="2910"/>
    <cellStyle name="20% - Énfasis1 35" xfId="2911"/>
    <cellStyle name="20% - Énfasis1 35 2" xfId="2912"/>
    <cellStyle name="20% - Énfasis1 36" xfId="2913"/>
    <cellStyle name="20% - Énfasis1 36 2" xfId="2914"/>
    <cellStyle name="20% - Énfasis1 37" xfId="2915"/>
    <cellStyle name="20% - Énfasis1 37 2" xfId="2916"/>
    <cellStyle name="20% - Énfasis1 38" xfId="2917"/>
    <cellStyle name="20% - Énfasis1 38 2" xfId="2918"/>
    <cellStyle name="20% - Énfasis1 39" xfId="2919"/>
    <cellStyle name="20% - Énfasis1 39 2" xfId="2920"/>
    <cellStyle name="20% - Énfasis1 4" xfId="2921"/>
    <cellStyle name="20% - Énfasis1 4 2" xfId="2922"/>
    <cellStyle name="20% - Énfasis1 40" xfId="2923"/>
    <cellStyle name="20% - Énfasis1 40 2" xfId="2924"/>
    <cellStyle name="20% - Énfasis1 41" xfId="2925"/>
    <cellStyle name="20% - Énfasis1 41 2" xfId="2926"/>
    <cellStyle name="20% - Énfasis1 42" xfId="2927"/>
    <cellStyle name="20% - Énfasis1 5" xfId="2928"/>
    <cellStyle name="20% - Énfasis1 5 2" xfId="2929"/>
    <cellStyle name="20% - Énfasis1 6" xfId="2930"/>
    <cellStyle name="20% - Énfasis1 6 2" xfId="2931"/>
    <cellStyle name="20% - Énfasis1 7" xfId="2932"/>
    <cellStyle name="20% - Énfasis1 7 2" xfId="2933"/>
    <cellStyle name="20% - Énfasis1 8" xfId="2934"/>
    <cellStyle name="20% - Énfasis1 8 2" xfId="2935"/>
    <cellStyle name="20% - Énfasis1 9" xfId="2936"/>
    <cellStyle name="20% - Énfasis1 9 2" xfId="2937"/>
    <cellStyle name="20% - Énfasis1_Bases Formato 1" xfId="2938"/>
    <cellStyle name="20% - Énfasis2 10" xfId="2939"/>
    <cellStyle name="20% - Énfasis2 10 2" xfId="2940"/>
    <cellStyle name="20% - Énfasis2 11" xfId="2941"/>
    <cellStyle name="20% - Énfasis2 11 2" xfId="2942"/>
    <cellStyle name="20% - Énfasis2 12" xfId="2943"/>
    <cellStyle name="20% - Énfasis2 12 2" xfId="2944"/>
    <cellStyle name="20% - Énfasis2 13" xfId="2945"/>
    <cellStyle name="20% - Énfasis2 13 2" xfId="2946"/>
    <cellStyle name="20% - Énfasis2 14" xfId="2947"/>
    <cellStyle name="20% - Énfasis2 14 2" xfId="2948"/>
    <cellStyle name="20% - Énfasis2 15" xfId="2949"/>
    <cellStyle name="20% - Énfasis2 15 2" xfId="2950"/>
    <cellStyle name="20% - Énfasis2 16" xfId="2951"/>
    <cellStyle name="20% - Énfasis2 16 2" xfId="2952"/>
    <cellStyle name="20% - Énfasis2 17" xfId="2953"/>
    <cellStyle name="20% - Énfasis2 17 2" xfId="2954"/>
    <cellStyle name="20% - Énfasis2 18" xfId="2955"/>
    <cellStyle name="20% - Énfasis2 18 2" xfId="2956"/>
    <cellStyle name="20% - Énfasis2 19" xfId="2957"/>
    <cellStyle name="20% - Énfasis2 19 2" xfId="2958"/>
    <cellStyle name="20% - Énfasis2 2" xfId="2959"/>
    <cellStyle name="20% - Énfasis2 2 2" xfId="2960"/>
    <cellStyle name="20% - Énfasis2 20" xfId="2961"/>
    <cellStyle name="20% - Énfasis2 20 2" xfId="2962"/>
    <cellStyle name="20% - Énfasis2 21" xfId="2963"/>
    <cellStyle name="20% - Énfasis2 21 2" xfId="2964"/>
    <cellStyle name="20% - Énfasis2 22" xfId="2965"/>
    <cellStyle name="20% - Énfasis2 22 2" xfId="2966"/>
    <cellStyle name="20% - Énfasis2 23" xfId="2967"/>
    <cellStyle name="20% - Énfasis2 23 2" xfId="2968"/>
    <cellStyle name="20% - Énfasis2 24" xfId="2969"/>
    <cellStyle name="20% - Énfasis2 24 2" xfId="2970"/>
    <cellStyle name="20% - Énfasis2 25" xfId="2971"/>
    <cellStyle name="20% - Énfasis2 25 2" xfId="2972"/>
    <cellStyle name="20% - Énfasis2 26" xfId="2973"/>
    <cellStyle name="20% - Énfasis2 26 2" xfId="2974"/>
    <cellStyle name="20% - Énfasis2 27" xfId="2975"/>
    <cellStyle name="20% - Énfasis2 27 2" xfId="2976"/>
    <cellStyle name="20% - Énfasis2 28" xfId="2977"/>
    <cellStyle name="20% - Énfasis2 28 2" xfId="2978"/>
    <cellStyle name="20% - Énfasis2 29" xfId="2979"/>
    <cellStyle name="20% - Énfasis2 29 2" xfId="2980"/>
    <cellStyle name="20% - Énfasis2 3" xfId="2981"/>
    <cellStyle name="20% - Énfasis2 3 2" xfId="2982"/>
    <cellStyle name="20% - Énfasis2 30" xfId="2983"/>
    <cellStyle name="20% - Énfasis2 30 2" xfId="2984"/>
    <cellStyle name="20% - Énfasis2 31" xfId="2985"/>
    <cellStyle name="20% - Énfasis2 31 2" xfId="2986"/>
    <cellStyle name="20% - Énfasis2 32" xfId="2987"/>
    <cellStyle name="20% - Énfasis2 32 2" xfId="2988"/>
    <cellStyle name="20% - Énfasis2 33" xfId="2989"/>
    <cellStyle name="20% - Énfasis2 33 2" xfId="2990"/>
    <cellStyle name="20% - Énfasis2 34" xfId="2991"/>
    <cellStyle name="20% - Énfasis2 34 2" xfId="2992"/>
    <cellStyle name="20% - Énfasis2 35" xfId="2993"/>
    <cellStyle name="20% - Énfasis2 35 2" xfId="2994"/>
    <cellStyle name="20% - Énfasis2 36" xfId="2995"/>
    <cellStyle name="20% - Énfasis2 36 2" xfId="2996"/>
    <cellStyle name="20% - Énfasis2 37" xfId="2997"/>
    <cellStyle name="20% - Énfasis2 37 2" xfId="2998"/>
    <cellStyle name="20% - Énfasis2 38" xfId="2999"/>
    <cellStyle name="20% - Énfasis2 38 2" xfId="3000"/>
    <cellStyle name="20% - Énfasis2 39" xfId="3001"/>
    <cellStyle name="20% - Énfasis2 39 2" xfId="3002"/>
    <cellStyle name="20% - Énfasis2 4" xfId="3003"/>
    <cellStyle name="20% - Énfasis2 4 2" xfId="3004"/>
    <cellStyle name="20% - Énfasis2 40" xfId="3005"/>
    <cellStyle name="20% - Énfasis2 40 2" xfId="3006"/>
    <cellStyle name="20% - Énfasis2 41" xfId="3007"/>
    <cellStyle name="20% - Énfasis2 41 2" xfId="3008"/>
    <cellStyle name="20% - Énfasis2 42" xfId="3009"/>
    <cellStyle name="20% - Énfasis2 5" xfId="3010"/>
    <cellStyle name="20% - Énfasis2 5 2" xfId="3011"/>
    <cellStyle name="20% - Énfasis2 6" xfId="3012"/>
    <cellStyle name="20% - Énfasis2 6 2" xfId="3013"/>
    <cellStyle name="20% - Énfasis2 7" xfId="3014"/>
    <cellStyle name="20% - Énfasis2 7 2" xfId="3015"/>
    <cellStyle name="20% - Énfasis2 8" xfId="3016"/>
    <cellStyle name="20% - Énfasis2 8 2" xfId="3017"/>
    <cellStyle name="20% - Énfasis2 9" xfId="3018"/>
    <cellStyle name="20% - Énfasis2 9 2" xfId="3019"/>
    <cellStyle name="20% - Énfasis2_Bases Formato 1" xfId="3020"/>
    <cellStyle name="20% - Énfasis3 10" xfId="3021"/>
    <cellStyle name="20% - Énfasis3 10 2" xfId="3022"/>
    <cellStyle name="20% - Énfasis3 11" xfId="3023"/>
    <cellStyle name="20% - Énfasis3 11 2" xfId="3024"/>
    <cellStyle name="20% - Énfasis3 12" xfId="3025"/>
    <cellStyle name="20% - Énfasis3 12 2" xfId="3026"/>
    <cellStyle name="20% - Énfasis3 13" xfId="3027"/>
    <cellStyle name="20% - Énfasis3 13 2" xfId="3028"/>
    <cellStyle name="20% - Énfasis3 14" xfId="3029"/>
    <cellStyle name="20% - Énfasis3 14 2" xfId="3030"/>
    <cellStyle name="20% - Énfasis3 15" xfId="3031"/>
    <cellStyle name="20% - Énfasis3 15 2" xfId="3032"/>
    <cellStyle name="20% - Énfasis3 16" xfId="3033"/>
    <cellStyle name="20% - Énfasis3 16 2" xfId="3034"/>
    <cellStyle name="20% - Énfasis3 17" xfId="3035"/>
    <cellStyle name="20% - Énfasis3 17 2" xfId="3036"/>
    <cellStyle name="20% - Énfasis3 18" xfId="3037"/>
    <cellStyle name="20% - Énfasis3 18 2" xfId="3038"/>
    <cellStyle name="20% - Énfasis3 19" xfId="3039"/>
    <cellStyle name="20% - Énfasis3 19 2" xfId="3040"/>
    <cellStyle name="20% - Énfasis3 2" xfId="3041"/>
    <cellStyle name="20% - Énfasis3 2 2" xfId="3042"/>
    <cellStyle name="20% - Énfasis3 20" xfId="3043"/>
    <cellStyle name="20% - Énfasis3 20 2" xfId="3044"/>
    <cellStyle name="20% - Énfasis3 21" xfId="3045"/>
    <cellStyle name="20% - Énfasis3 21 2" xfId="3046"/>
    <cellStyle name="20% - Énfasis3 22" xfId="3047"/>
    <cellStyle name="20% - Énfasis3 22 2" xfId="3048"/>
    <cellStyle name="20% - Énfasis3 23" xfId="3049"/>
    <cellStyle name="20% - Énfasis3 23 2" xfId="3050"/>
    <cellStyle name="20% - Énfasis3 24" xfId="3051"/>
    <cellStyle name="20% - Énfasis3 24 2" xfId="3052"/>
    <cellStyle name="20% - Énfasis3 25" xfId="3053"/>
    <cellStyle name="20% - Énfasis3 25 2" xfId="3054"/>
    <cellStyle name="20% - Énfasis3 26" xfId="3055"/>
    <cellStyle name="20% - Énfasis3 26 2" xfId="3056"/>
    <cellStyle name="20% - Énfasis3 27" xfId="3057"/>
    <cellStyle name="20% - Énfasis3 27 2" xfId="3058"/>
    <cellStyle name="20% - Énfasis3 28" xfId="3059"/>
    <cellStyle name="20% - Énfasis3 28 2" xfId="3060"/>
    <cellStyle name="20% - Énfasis3 29" xfId="3061"/>
    <cellStyle name="20% - Énfasis3 29 2" xfId="3062"/>
    <cellStyle name="20% - Énfasis3 3" xfId="3063"/>
    <cellStyle name="20% - Énfasis3 3 2" xfId="3064"/>
    <cellStyle name="20% - Énfasis3 30" xfId="3065"/>
    <cellStyle name="20% - Énfasis3 30 2" xfId="3066"/>
    <cellStyle name="20% - Énfasis3 31" xfId="3067"/>
    <cellStyle name="20% - Énfasis3 31 2" xfId="3068"/>
    <cellStyle name="20% - Énfasis3 32" xfId="3069"/>
    <cellStyle name="20% - Énfasis3 32 2" xfId="3070"/>
    <cellStyle name="20% - Énfasis3 33" xfId="3071"/>
    <cellStyle name="20% - Énfasis3 33 2" xfId="3072"/>
    <cellStyle name="20% - Énfasis3 34" xfId="3073"/>
    <cellStyle name="20% - Énfasis3 34 2" xfId="3074"/>
    <cellStyle name="20% - Énfasis3 35" xfId="3075"/>
    <cellStyle name="20% - Énfasis3 35 2" xfId="3076"/>
    <cellStyle name="20% - Énfasis3 36" xfId="3077"/>
    <cellStyle name="20% - Énfasis3 36 2" xfId="3078"/>
    <cellStyle name="20% - Énfasis3 37" xfId="3079"/>
    <cellStyle name="20% - Énfasis3 37 2" xfId="3080"/>
    <cellStyle name="20% - Énfasis3 38" xfId="3081"/>
    <cellStyle name="20% - Énfasis3 38 2" xfId="3082"/>
    <cellStyle name="20% - Énfasis3 39" xfId="3083"/>
    <cellStyle name="20% - Énfasis3 39 2" xfId="3084"/>
    <cellStyle name="20% - Énfasis3 4" xfId="3085"/>
    <cellStyle name="20% - Énfasis3 4 2" xfId="3086"/>
    <cellStyle name="20% - Énfasis3 40" xfId="3087"/>
    <cellStyle name="20% - Énfasis3 40 2" xfId="3088"/>
    <cellStyle name="20% - Énfasis3 41" xfId="3089"/>
    <cellStyle name="20% - Énfasis3 41 2" xfId="3090"/>
    <cellStyle name="20% - Énfasis3 42" xfId="3091"/>
    <cellStyle name="20% - Énfasis3 5" xfId="3092"/>
    <cellStyle name="20% - Énfasis3 5 2" xfId="3093"/>
    <cellStyle name="20% - Énfasis3 6" xfId="3094"/>
    <cellStyle name="20% - Énfasis3 6 2" xfId="3095"/>
    <cellStyle name="20% - Énfasis3 7" xfId="3096"/>
    <cellStyle name="20% - Énfasis3 7 2" xfId="3097"/>
    <cellStyle name="20% - Énfasis3 8" xfId="3098"/>
    <cellStyle name="20% - Énfasis3 8 2" xfId="3099"/>
    <cellStyle name="20% - Énfasis3 9" xfId="3100"/>
    <cellStyle name="20% - Énfasis3 9 2" xfId="3101"/>
    <cellStyle name="20% - Énfasis3_Bases Formato 1" xfId="3102"/>
    <cellStyle name="20% - Énfasis4 10" xfId="3103"/>
    <cellStyle name="20% - Énfasis4 10 2" xfId="3104"/>
    <cellStyle name="20% - Énfasis4 11" xfId="3105"/>
    <cellStyle name="20% - Énfasis4 11 2" xfId="3106"/>
    <cellStyle name="20% - Énfasis4 12" xfId="3107"/>
    <cellStyle name="20% - Énfasis4 12 2" xfId="3108"/>
    <cellStyle name="20% - Énfasis4 13" xfId="3109"/>
    <cellStyle name="20% - Énfasis4 13 2" xfId="3110"/>
    <cellStyle name="20% - Énfasis4 14" xfId="3111"/>
    <cellStyle name="20% - Énfasis4 14 2" xfId="3112"/>
    <cellStyle name="20% - Énfasis4 15" xfId="3113"/>
    <cellStyle name="20% - Énfasis4 15 2" xfId="3114"/>
    <cellStyle name="20% - Énfasis4 16" xfId="3115"/>
    <cellStyle name="20% - Énfasis4 16 2" xfId="3116"/>
    <cellStyle name="20% - Énfasis4 17" xfId="3117"/>
    <cellStyle name="20% - Énfasis4 17 2" xfId="3118"/>
    <cellStyle name="20% - Énfasis4 18" xfId="3119"/>
    <cellStyle name="20% - Énfasis4 18 2" xfId="3120"/>
    <cellStyle name="20% - Énfasis4 19" xfId="3121"/>
    <cellStyle name="20% - Énfasis4 19 2" xfId="3122"/>
    <cellStyle name="20% - Énfasis4 2" xfId="3123"/>
    <cellStyle name="20% - Énfasis4 2 2" xfId="3124"/>
    <cellStyle name="20% - Énfasis4 20" xfId="3125"/>
    <cellStyle name="20% - Énfasis4 20 2" xfId="3126"/>
    <cellStyle name="20% - Énfasis4 21" xfId="3127"/>
    <cellStyle name="20% - Énfasis4 21 2" xfId="3128"/>
    <cellStyle name="20% - Énfasis4 22" xfId="3129"/>
    <cellStyle name="20% - Énfasis4 22 2" xfId="3130"/>
    <cellStyle name="20% - Énfasis4 23" xfId="3131"/>
    <cellStyle name="20% - Énfasis4 23 2" xfId="3132"/>
    <cellStyle name="20% - Énfasis4 24" xfId="3133"/>
    <cellStyle name="20% - Énfasis4 24 2" xfId="3134"/>
    <cellStyle name="20% - Énfasis4 25" xfId="3135"/>
    <cellStyle name="20% - Énfasis4 25 2" xfId="3136"/>
    <cellStyle name="20% - Énfasis4 26" xfId="3137"/>
    <cellStyle name="20% - Énfasis4 26 2" xfId="3138"/>
    <cellStyle name="20% - Énfasis4 27" xfId="3139"/>
    <cellStyle name="20% - Énfasis4 27 2" xfId="3140"/>
    <cellStyle name="20% - Énfasis4 28" xfId="3141"/>
    <cellStyle name="20% - Énfasis4 28 2" xfId="3142"/>
    <cellStyle name="20% - Énfasis4 29" xfId="3143"/>
    <cellStyle name="20% - Énfasis4 29 2" xfId="3144"/>
    <cellStyle name="20% - Énfasis4 3" xfId="3145"/>
    <cellStyle name="20% - Énfasis4 3 2" xfId="3146"/>
    <cellStyle name="20% - Énfasis4 30" xfId="3147"/>
    <cellStyle name="20% - Énfasis4 30 2" xfId="3148"/>
    <cellStyle name="20% - Énfasis4 31" xfId="3149"/>
    <cellStyle name="20% - Énfasis4 31 2" xfId="3150"/>
    <cellStyle name="20% - Énfasis4 32" xfId="3151"/>
    <cellStyle name="20% - Énfasis4 32 2" xfId="3152"/>
    <cellStyle name="20% - Énfasis4 33" xfId="3153"/>
    <cellStyle name="20% - Énfasis4 33 2" xfId="3154"/>
    <cellStyle name="20% - Énfasis4 34" xfId="3155"/>
    <cellStyle name="20% - Énfasis4 34 2" xfId="3156"/>
    <cellStyle name="20% - Énfasis4 35" xfId="3157"/>
    <cellStyle name="20% - Énfasis4 35 2" xfId="3158"/>
    <cellStyle name="20% - Énfasis4 36" xfId="3159"/>
    <cellStyle name="20% - Énfasis4 36 2" xfId="3160"/>
    <cellStyle name="20% - Énfasis4 37" xfId="3161"/>
    <cellStyle name="20% - Énfasis4 37 2" xfId="3162"/>
    <cellStyle name="20% - Énfasis4 38" xfId="3163"/>
    <cellStyle name="20% - Énfasis4 38 2" xfId="3164"/>
    <cellStyle name="20% - Énfasis4 39" xfId="3165"/>
    <cellStyle name="20% - Énfasis4 39 2" xfId="3166"/>
    <cellStyle name="20% - Énfasis4 4" xfId="3167"/>
    <cellStyle name="20% - Énfasis4 4 2" xfId="3168"/>
    <cellStyle name="20% - Énfasis4 40" xfId="3169"/>
    <cellStyle name="20% - Énfasis4 40 2" xfId="3170"/>
    <cellStyle name="20% - Énfasis4 41" xfId="3171"/>
    <cellStyle name="20% - Énfasis4 41 2" xfId="3172"/>
    <cellStyle name="20% - Énfasis4 42" xfId="3173"/>
    <cellStyle name="20% - Énfasis4 5" xfId="3174"/>
    <cellStyle name="20% - Énfasis4 5 2" xfId="3175"/>
    <cellStyle name="20% - Énfasis4 6" xfId="3176"/>
    <cellStyle name="20% - Énfasis4 6 2" xfId="3177"/>
    <cellStyle name="20% - Énfasis4 7" xfId="3178"/>
    <cellStyle name="20% - Énfasis4 7 2" xfId="3179"/>
    <cellStyle name="20% - Énfasis4 8" xfId="3180"/>
    <cellStyle name="20% - Énfasis4 8 2" xfId="3181"/>
    <cellStyle name="20% - Énfasis4 9" xfId="3182"/>
    <cellStyle name="20% - Énfasis4 9 2" xfId="3183"/>
    <cellStyle name="20% - Énfasis4_Bases Formato 1" xfId="3184"/>
    <cellStyle name="20% - Énfasis5 10" xfId="3185"/>
    <cellStyle name="20% - Énfasis5 10 2" xfId="3186"/>
    <cellStyle name="20% - Énfasis5 11" xfId="3187"/>
    <cellStyle name="20% - Énfasis5 11 2" xfId="3188"/>
    <cellStyle name="20% - Énfasis5 12" xfId="3189"/>
    <cellStyle name="20% - Énfasis5 12 2" xfId="3190"/>
    <cellStyle name="20% - Énfasis5 13" xfId="3191"/>
    <cellStyle name="20% - Énfasis5 13 2" xfId="3192"/>
    <cellStyle name="20% - Énfasis5 14" xfId="3193"/>
    <cellStyle name="20% - Énfasis5 14 2" xfId="3194"/>
    <cellStyle name="20% - Énfasis5 15" xfId="3195"/>
    <cellStyle name="20% - Énfasis5 15 2" xfId="3196"/>
    <cellStyle name="20% - Énfasis5 16" xfId="3197"/>
    <cellStyle name="20% - Énfasis5 16 2" xfId="3198"/>
    <cellStyle name="20% - Énfasis5 17" xfId="3199"/>
    <cellStyle name="20% - Énfasis5 17 2" xfId="3200"/>
    <cellStyle name="20% - Énfasis5 18" xfId="3201"/>
    <cellStyle name="20% - Énfasis5 18 2" xfId="3202"/>
    <cellStyle name="20% - Énfasis5 19" xfId="3203"/>
    <cellStyle name="20% - Énfasis5 19 2" xfId="3204"/>
    <cellStyle name="20% - Énfasis5 2" xfId="3205"/>
    <cellStyle name="20% - Énfasis5 2 2" xfId="3206"/>
    <cellStyle name="20% - Énfasis5 20" xfId="3207"/>
    <cellStyle name="20% - Énfasis5 20 2" xfId="3208"/>
    <cellStyle name="20% - Énfasis5 21" xfId="3209"/>
    <cellStyle name="20% - Énfasis5 21 2" xfId="3210"/>
    <cellStyle name="20% - Énfasis5 22" xfId="3211"/>
    <cellStyle name="20% - Énfasis5 22 2" xfId="3212"/>
    <cellStyle name="20% - Énfasis5 23" xfId="3213"/>
    <cellStyle name="20% - Énfasis5 23 2" xfId="3214"/>
    <cellStyle name="20% - Énfasis5 24" xfId="3215"/>
    <cellStyle name="20% - Énfasis5 24 2" xfId="3216"/>
    <cellStyle name="20% - Énfasis5 25" xfId="3217"/>
    <cellStyle name="20% - Énfasis5 25 2" xfId="3218"/>
    <cellStyle name="20% - Énfasis5 26" xfId="3219"/>
    <cellStyle name="20% - Énfasis5 26 2" xfId="3220"/>
    <cellStyle name="20% - Énfasis5 27" xfId="3221"/>
    <cellStyle name="20% - Énfasis5 27 2" xfId="3222"/>
    <cellStyle name="20% - Énfasis5 28" xfId="3223"/>
    <cellStyle name="20% - Énfasis5 28 2" xfId="3224"/>
    <cellStyle name="20% - Énfasis5 29" xfId="3225"/>
    <cellStyle name="20% - Énfasis5 29 2" xfId="3226"/>
    <cellStyle name="20% - Énfasis5 3" xfId="3227"/>
    <cellStyle name="20% - Énfasis5 3 2" xfId="3228"/>
    <cellStyle name="20% - Énfasis5 30" xfId="3229"/>
    <cellStyle name="20% - Énfasis5 30 2" xfId="3230"/>
    <cellStyle name="20% - Énfasis5 31" xfId="3231"/>
    <cellStyle name="20% - Énfasis5 31 2" xfId="3232"/>
    <cellStyle name="20% - Énfasis5 32" xfId="3233"/>
    <cellStyle name="20% - Énfasis5 32 2" xfId="3234"/>
    <cellStyle name="20% - Énfasis5 33" xfId="3235"/>
    <cellStyle name="20% - Énfasis5 33 2" xfId="3236"/>
    <cellStyle name="20% - Énfasis5 34" xfId="3237"/>
    <cellStyle name="20% - Énfasis5 34 2" xfId="3238"/>
    <cellStyle name="20% - Énfasis5 35" xfId="3239"/>
    <cellStyle name="20% - Énfasis5 35 2" xfId="3240"/>
    <cellStyle name="20% - Énfasis5 36" xfId="3241"/>
    <cellStyle name="20% - Énfasis5 36 2" xfId="3242"/>
    <cellStyle name="20% - Énfasis5 37" xfId="3243"/>
    <cellStyle name="20% - Énfasis5 37 2" xfId="3244"/>
    <cellStyle name="20% - Énfasis5 38" xfId="3245"/>
    <cellStyle name="20% - Énfasis5 38 2" xfId="3246"/>
    <cellStyle name="20% - Énfasis5 39" xfId="3247"/>
    <cellStyle name="20% - Énfasis5 39 2" xfId="3248"/>
    <cellStyle name="20% - Énfasis5 4" xfId="3249"/>
    <cellStyle name="20% - Énfasis5 4 2" xfId="3250"/>
    <cellStyle name="20% - Énfasis5 40" xfId="3251"/>
    <cellStyle name="20% - Énfasis5 40 2" xfId="3252"/>
    <cellStyle name="20% - Énfasis5 41" xfId="3253"/>
    <cellStyle name="20% - Énfasis5 41 2" xfId="3254"/>
    <cellStyle name="20% - Énfasis5 42" xfId="3255"/>
    <cellStyle name="20% - Énfasis5 5" xfId="3256"/>
    <cellStyle name="20% - Énfasis5 5 2" xfId="3257"/>
    <cellStyle name="20% - Énfasis5 6" xfId="3258"/>
    <cellStyle name="20% - Énfasis5 6 2" xfId="3259"/>
    <cellStyle name="20% - Énfasis5 7" xfId="3260"/>
    <cellStyle name="20% - Énfasis5 7 2" xfId="3261"/>
    <cellStyle name="20% - Énfasis5 8" xfId="3262"/>
    <cellStyle name="20% - Énfasis5 8 2" xfId="3263"/>
    <cellStyle name="20% - Énfasis5 9" xfId="3264"/>
    <cellStyle name="20% - Énfasis5 9 2" xfId="3265"/>
    <cellStyle name="20% - Énfasis5_Bases Formato 1" xfId="3266"/>
    <cellStyle name="20% - Énfasis6 10" xfId="3267"/>
    <cellStyle name="20% - Énfasis6 10 2" xfId="3268"/>
    <cellStyle name="20% - Énfasis6 11" xfId="3269"/>
    <cellStyle name="20% - Énfasis6 11 2" xfId="3270"/>
    <cellStyle name="20% - Énfasis6 12" xfId="3271"/>
    <cellStyle name="20% - Énfasis6 12 2" xfId="3272"/>
    <cellStyle name="20% - Énfasis6 13" xfId="3273"/>
    <cellStyle name="20% - Énfasis6 13 2" xfId="3274"/>
    <cellStyle name="20% - Énfasis6 14" xfId="3275"/>
    <cellStyle name="20% - Énfasis6 14 2" xfId="3276"/>
    <cellStyle name="20% - Énfasis6 15" xfId="3277"/>
    <cellStyle name="20% - Énfasis6 15 2" xfId="3278"/>
    <cellStyle name="20% - Énfasis6 16" xfId="3279"/>
    <cellStyle name="20% - Énfasis6 16 2" xfId="3280"/>
    <cellStyle name="20% - Énfasis6 17" xfId="3281"/>
    <cellStyle name="20% - Énfasis6 17 2" xfId="3282"/>
    <cellStyle name="20% - Énfasis6 18" xfId="3283"/>
    <cellStyle name="20% - Énfasis6 18 2" xfId="3284"/>
    <cellStyle name="20% - Énfasis6 19" xfId="3285"/>
    <cellStyle name="20% - Énfasis6 19 2" xfId="3286"/>
    <cellStyle name="20% - Énfasis6 2" xfId="3287"/>
    <cellStyle name="20% - Énfasis6 2 2" xfId="3288"/>
    <cellStyle name="20% - Énfasis6 20" xfId="3289"/>
    <cellStyle name="20% - Énfasis6 20 2" xfId="3290"/>
    <cellStyle name="20% - Énfasis6 21" xfId="3291"/>
    <cellStyle name="20% - Énfasis6 21 2" xfId="3292"/>
    <cellStyle name="20% - Énfasis6 22" xfId="3293"/>
    <cellStyle name="20% - Énfasis6 22 2" xfId="3294"/>
    <cellStyle name="20% - Énfasis6 23" xfId="3295"/>
    <cellStyle name="20% - Énfasis6 23 2" xfId="3296"/>
    <cellStyle name="20% - Énfasis6 24" xfId="3297"/>
    <cellStyle name="20% - Énfasis6 24 2" xfId="3298"/>
    <cellStyle name="20% - Énfasis6 25" xfId="3299"/>
    <cellStyle name="20% - Énfasis6 25 2" xfId="3300"/>
    <cellStyle name="20% - Énfasis6 26" xfId="3301"/>
    <cellStyle name="20% - Énfasis6 26 2" xfId="3302"/>
    <cellStyle name="20% - Énfasis6 27" xfId="3303"/>
    <cellStyle name="20% - Énfasis6 27 2" xfId="3304"/>
    <cellStyle name="20% - Énfasis6 28" xfId="3305"/>
    <cellStyle name="20% - Énfasis6 28 2" xfId="3306"/>
    <cellStyle name="20% - Énfasis6 29" xfId="3307"/>
    <cellStyle name="20% - Énfasis6 29 2" xfId="3308"/>
    <cellStyle name="20% - Énfasis6 3" xfId="3309"/>
    <cellStyle name="20% - Énfasis6 3 2" xfId="3310"/>
    <cellStyle name="20% - Énfasis6 30" xfId="3311"/>
    <cellStyle name="20% - Énfasis6 30 2" xfId="3312"/>
    <cellStyle name="20% - Énfasis6 31" xfId="3313"/>
    <cellStyle name="20% - Énfasis6 31 2" xfId="3314"/>
    <cellStyle name="20% - Énfasis6 32" xfId="3315"/>
    <cellStyle name="20% - Énfasis6 32 2" xfId="3316"/>
    <cellStyle name="20% - Énfasis6 33" xfId="3317"/>
    <cellStyle name="20% - Énfasis6 33 2" xfId="3318"/>
    <cellStyle name="20% - Énfasis6 34" xfId="3319"/>
    <cellStyle name="20% - Énfasis6 34 2" xfId="3320"/>
    <cellStyle name="20% - Énfasis6 35" xfId="3321"/>
    <cellStyle name="20% - Énfasis6 35 2" xfId="3322"/>
    <cellStyle name="20% - Énfasis6 36" xfId="3323"/>
    <cellStyle name="20% - Énfasis6 36 2" xfId="3324"/>
    <cellStyle name="20% - Énfasis6 37" xfId="3325"/>
    <cellStyle name="20% - Énfasis6 37 2" xfId="3326"/>
    <cellStyle name="20% - Énfasis6 38" xfId="3327"/>
    <cellStyle name="20% - Énfasis6 38 2" xfId="3328"/>
    <cellStyle name="20% - Énfasis6 39" xfId="3329"/>
    <cellStyle name="20% - Énfasis6 39 2" xfId="3330"/>
    <cellStyle name="20% - Énfasis6 4" xfId="3331"/>
    <cellStyle name="20% - Énfasis6 4 2" xfId="3332"/>
    <cellStyle name="20% - Énfasis6 40" xfId="3333"/>
    <cellStyle name="20% - Énfasis6 40 2" xfId="3334"/>
    <cellStyle name="20% - Énfasis6 41" xfId="3335"/>
    <cellStyle name="20% - Énfasis6 41 2" xfId="3336"/>
    <cellStyle name="20% - Énfasis6 42" xfId="3337"/>
    <cellStyle name="20% - Énfasis6 5" xfId="3338"/>
    <cellStyle name="20% - Énfasis6 5 2" xfId="3339"/>
    <cellStyle name="20% - Énfasis6 6" xfId="3340"/>
    <cellStyle name="20% - Énfasis6 6 2" xfId="3341"/>
    <cellStyle name="20% - Énfasis6 7" xfId="3342"/>
    <cellStyle name="20% - Énfasis6 7 2" xfId="3343"/>
    <cellStyle name="20% - Énfasis6 8" xfId="3344"/>
    <cellStyle name="20% - Énfasis6 8 2" xfId="3345"/>
    <cellStyle name="20% - Énfasis6 9" xfId="3346"/>
    <cellStyle name="20% - Énfasis6 9 2" xfId="3347"/>
    <cellStyle name="20% - Énfasis6_Bases Formato 1" xfId="3348"/>
    <cellStyle name="20% - 强调文字颜色 1 2" xfId="3349"/>
    <cellStyle name="20% - 强调文字颜色 1 3" xfId="3350"/>
    <cellStyle name="20% - 强调文字颜色 2 2" xfId="3351"/>
    <cellStyle name="20% - 强调文字颜色 2 3" xfId="3352"/>
    <cellStyle name="20% - 强调文字颜色 3 2" xfId="3353"/>
    <cellStyle name="20% - 强调文字颜色 3 3" xfId="3354"/>
    <cellStyle name="20% - 强调文字颜色 4 2" xfId="3355"/>
    <cellStyle name="20% - 强调文字颜色 4 3" xfId="3356"/>
    <cellStyle name="20% - 强调文字颜色 5 2" xfId="3357"/>
    <cellStyle name="20% - 强调文字颜色 5 3" xfId="3358"/>
    <cellStyle name="20% - 强调文字颜色 6 2" xfId="3359"/>
    <cellStyle name="20% - 强调文字颜色 6 3" xfId="3360"/>
    <cellStyle name="2DecimalPercent" xfId="241"/>
    <cellStyle name="2Decimals" xfId="242"/>
    <cellStyle name="_x0004_3;_x0018_" xfId="243"/>
    <cellStyle name="40 % - Accent1" xfId="3361"/>
    <cellStyle name="40 % - Accent2" xfId="3362"/>
    <cellStyle name="40 % - Accent3" xfId="3363"/>
    <cellStyle name="40 % - Accent4" xfId="3364"/>
    <cellStyle name="40 % - Accent5" xfId="3365"/>
    <cellStyle name="40 % - Accent6" xfId="3366"/>
    <cellStyle name="40% - Accent1" xfId="244" builtinId="31" customBuiltin="1"/>
    <cellStyle name="40% - Accent1 10" xfId="1719"/>
    <cellStyle name="40% - Accent1 11" xfId="1720"/>
    <cellStyle name="40% - Accent1 12" xfId="1721"/>
    <cellStyle name="40% - Accent1 13" xfId="1722"/>
    <cellStyle name="40% - Accent1 14" xfId="3367"/>
    <cellStyle name="40% - Accent1 15" xfId="3368"/>
    <cellStyle name="40% - Accent1 16" xfId="3369"/>
    <cellStyle name="40% - Accent1 17" xfId="3370"/>
    <cellStyle name="40% - Accent1 18" xfId="3371"/>
    <cellStyle name="40% - Accent1 19" xfId="3372"/>
    <cellStyle name="40% - Accent1 2" xfId="1723"/>
    <cellStyle name="40% - Accent1 2 2" xfId="1724"/>
    <cellStyle name="40% - Accent1 2 2 2" xfId="1725"/>
    <cellStyle name="40% - Accent1 2 3" xfId="1726"/>
    <cellStyle name="40% - Accent1 2 3 2" xfId="1727"/>
    <cellStyle name="40% - Accent1 2 4" xfId="1728"/>
    <cellStyle name="40% - Accent1 2_MedaSTAT &amp; NPUT FA Roll Forward" xfId="1729"/>
    <cellStyle name="40% - Accent1 20" xfId="3373"/>
    <cellStyle name="40% - Accent1 21" xfId="3374"/>
    <cellStyle name="40% - Accent1 22" xfId="3375"/>
    <cellStyle name="40% - Accent1 23" xfId="3376"/>
    <cellStyle name="40% - Accent1 24" xfId="3377"/>
    <cellStyle name="40% - Accent1 25" xfId="3378"/>
    <cellStyle name="40% - Accent1 26" xfId="3379"/>
    <cellStyle name="40% - Accent1 27" xfId="3380"/>
    <cellStyle name="40% - Accent1 28" xfId="3381"/>
    <cellStyle name="40% - Accent1 29" xfId="3382"/>
    <cellStyle name="40% - Accent1 3" xfId="1730"/>
    <cellStyle name="40% - Accent1 3 2" xfId="1731"/>
    <cellStyle name="40% - Accent1 3 2 2" xfId="1732"/>
    <cellStyle name="40% - Accent1 3 3" xfId="1733"/>
    <cellStyle name="40% - Accent1 3 3 2" xfId="1734"/>
    <cellStyle name="40% - Accent1 3 4" xfId="1735"/>
    <cellStyle name="40% - Accent1 30" xfId="3383"/>
    <cellStyle name="40% - Accent1 31" xfId="3384"/>
    <cellStyle name="40% - Accent1 32" xfId="3385"/>
    <cellStyle name="40% - Accent1 33" xfId="3386"/>
    <cellStyle name="40% - Accent1 34" xfId="3387"/>
    <cellStyle name="40% - Accent1 35" xfId="3388"/>
    <cellStyle name="40% - Accent1 36" xfId="3389"/>
    <cellStyle name="40% - Accent1 37" xfId="3390"/>
    <cellStyle name="40% - Accent1 38" xfId="3391"/>
    <cellStyle name="40% - Accent1 39" xfId="3392"/>
    <cellStyle name="40% - Accent1 4" xfId="1736"/>
    <cellStyle name="40% - Accent1 4 2" xfId="1737"/>
    <cellStyle name="40% - Accent1 4 3" xfId="3393"/>
    <cellStyle name="40% - Accent1 40" xfId="3394"/>
    <cellStyle name="40% - Accent1 41" xfId="3395"/>
    <cellStyle name="40% - Accent1 42" xfId="3396"/>
    <cellStyle name="40% - Accent1 43" xfId="3397"/>
    <cellStyle name="40% - Accent1 44" xfId="3398"/>
    <cellStyle name="40% - Accent1 45" xfId="3399"/>
    <cellStyle name="40% - Accent1 46" xfId="3400"/>
    <cellStyle name="40% - Accent1 47" xfId="3401"/>
    <cellStyle name="40% - Accent1 5" xfId="1738"/>
    <cellStyle name="40% - Accent1 5 2" xfId="1739"/>
    <cellStyle name="40% - Accent1 5 3" xfId="3402"/>
    <cellStyle name="40% - Accent1 6" xfId="1740"/>
    <cellStyle name="40% - Accent1 7" xfId="1741"/>
    <cellStyle name="40% - Accent1 8" xfId="1742"/>
    <cellStyle name="40% - Accent1 9" xfId="1743"/>
    <cellStyle name="40% - Accent2" xfId="245" builtinId="35" customBuiltin="1"/>
    <cellStyle name="40% - Accent2 10" xfId="1744"/>
    <cellStyle name="40% - Accent2 11" xfId="1745"/>
    <cellStyle name="40% - Accent2 12" xfId="1746"/>
    <cellStyle name="40% - Accent2 13" xfId="1747"/>
    <cellStyle name="40% - Accent2 14" xfId="3403"/>
    <cellStyle name="40% - Accent2 15" xfId="3404"/>
    <cellStyle name="40% - Accent2 16" xfId="3405"/>
    <cellStyle name="40% - Accent2 17" xfId="3406"/>
    <cellStyle name="40% - Accent2 18" xfId="3407"/>
    <cellStyle name="40% - Accent2 19" xfId="3408"/>
    <cellStyle name="40% - Accent2 2" xfId="1748"/>
    <cellStyle name="40% - Accent2 2 2" xfId="1749"/>
    <cellStyle name="40% - Accent2 2 2 2" xfId="1750"/>
    <cellStyle name="40% - Accent2 2 3" xfId="1751"/>
    <cellStyle name="40% - Accent2 2 3 2" xfId="1752"/>
    <cellStyle name="40% - Accent2 2 4" xfId="1753"/>
    <cellStyle name="40% - Accent2 2_MedaSTAT &amp; NPUT FA Roll Forward" xfId="1754"/>
    <cellStyle name="40% - Accent2 20" xfId="3409"/>
    <cellStyle name="40% - Accent2 21" xfId="3410"/>
    <cellStyle name="40% - Accent2 22" xfId="3411"/>
    <cellStyle name="40% - Accent2 23" xfId="3412"/>
    <cellStyle name="40% - Accent2 24" xfId="3413"/>
    <cellStyle name="40% - Accent2 25" xfId="3414"/>
    <cellStyle name="40% - Accent2 26" xfId="3415"/>
    <cellStyle name="40% - Accent2 27" xfId="3416"/>
    <cellStyle name="40% - Accent2 28" xfId="3417"/>
    <cellStyle name="40% - Accent2 29" xfId="3418"/>
    <cellStyle name="40% - Accent2 3" xfId="1755"/>
    <cellStyle name="40% - Accent2 3 2" xfId="1756"/>
    <cellStyle name="40% - Accent2 3 2 2" xfId="1757"/>
    <cellStyle name="40% - Accent2 3 3" xfId="1758"/>
    <cellStyle name="40% - Accent2 3 3 2" xfId="1759"/>
    <cellStyle name="40% - Accent2 3 4" xfId="1760"/>
    <cellStyle name="40% - Accent2 30" xfId="3419"/>
    <cellStyle name="40% - Accent2 31" xfId="3420"/>
    <cellStyle name="40% - Accent2 32" xfId="3421"/>
    <cellStyle name="40% - Accent2 33" xfId="3422"/>
    <cellStyle name="40% - Accent2 34" xfId="3423"/>
    <cellStyle name="40% - Accent2 35" xfId="3424"/>
    <cellStyle name="40% - Accent2 36" xfId="3425"/>
    <cellStyle name="40% - Accent2 37" xfId="3426"/>
    <cellStyle name="40% - Accent2 38" xfId="3427"/>
    <cellStyle name="40% - Accent2 39" xfId="3428"/>
    <cellStyle name="40% - Accent2 4" xfId="1761"/>
    <cellStyle name="40% - Accent2 4 2" xfId="1762"/>
    <cellStyle name="40% - Accent2 4 3" xfId="3429"/>
    <cellStyle name="40% - Accent2 40" xfId="3430"/>
    <cellStyle name="40% - Accent2 41" xfId="3431"/>
    <cellStyle name="40% - Accent2 42" xfId="3432"/>
    <cellStyle name="40% - Accent2 43" xfId="3433"/>
    <cellStyle name="40% - Accent2 44" xfId="3434"/>
    <cellStyle name="40% - Accent2 45" xfId="3435"/>
    <cellStyle name="40% - Accent2 46" xfId="3436"/>
    <cellStyle name="40% - Accent2 47" xfId="3437"/>
    <cellStyle name="40% - Accent2 5" xfId="1763"/>
    <cellStyle name="40% - Accent2 5 2" xfId="1764"/>
    <cellStyle name="40% - Accent2 5 3" xfId="3438"/>
    <cellStyle name="40% - Accent2 6" xfId="1765"/>
    <cellStyle name="40% - Accent2 7" xfId="1766"/>
    <cellStyle name="40% - Accent2 8" xfId="1767"/>
    <cellStyle name="40% - Accent2 9" xfId="1768"/>
    <cellStyle name="40% - Accent3" xfId="246" builtinId="39" customBuiltin="1"/>
    <cellStyle name="40% - Accent3 10" xfId="1769"/>
    <cellStyle name="40% - Accent3 11" xfId="1770"/>
    <cellStyle name="40% - Accent3 12" xfId="1771"/>
    <cellStyle name="40% - Accent3 13" xfId="1772"/>
    <cellStyle name="40% - Accent3 14" xfId="3439"/>
    <cellStyle name="40% - Accent3 15" xfId="3440"/>
    <cellStyle name="40% - Accent3 16" xfId="3441"/>
    <cellStyle name="40% - Accent3 17" xfId="3442"/>
    <cellStyle name="40% - Accent3 18" xfId="3443"/>
    <cellStyle name="40% - Accent3 19" xfId="3444"/>
    <cellStyle name="40% - Accent3 2" xfId="1773"/>
    <cellStyle name="40% - Accent3 2 2" xfId="1774"/>
    <cellStyle name="40% - Accent3 2 2 2" xfId="1775"/>
    <cellStyle name="40% - Accent3 2 3" xfId="1776"/>
    <cellStyle name="40% - Accent3 2 3 2" xfId="1777"/>
    <cellStyle name="40% - Accent3 2 4" xfId="1778"/>
    <cellStyle name="40% - Accent3 2_MedaSTAT &amp; NPUT FA Roll Forward" xfId="1779"/>
    <cellStyle name="40% - Accent3 20" xfId="3445"/>
    <cellStyle name="40% - Accent3 21" xfId="3446"/>
    <cellStyle name="40% - Accent3 22" xfId="3447"/>
    <cellStyle name="40% - Accent3 23" xfId="3448"/>
    <cellStyle name="40% - Accent3 24" xfId="3449"/>
    <cellStyle name="40% - Accent3 25" xfId="3450"/>
    <cellStyle name="40% - Accent3 26" xfId="3451"/>
    <cellStyle name="40% - Accent3 27" xfId="3452"/>
    <cellStyle name="40% - Accent3 28" xfId="3453"/>
    <cellStyle name="40% - Accent3 29" xfId="3454"/>
    <cellStyle name="40% - Accent3 3" xfId="1780"/>
    <cellStyle name="40% - Accent3 3 2" xfId="1781"/>
    <cellStyle name="40% - Accent3 3 2 2" xfId="1782"/>
    <cellStyle name="40% - Accent3 3 3" xfId="1783"/>
    <cellStyle name="40% - Accent3 3 3 2" xfId="1784"/>
    <cellStyle name="40% - Accent3 3 4" xfId="1785"/>
    <cellStyle name="40% - Accent3 30" xfId="3455"/>
    <cellStyle name="40% - Accent3 31" xfId="3456"/>
    <cellStyle name="40% - Accent3 32" xfId="3457"/>
    <cellStyle name="40% - Accent3 33" xfId="3458"/>
    <cellStyle name="40% - Accent3 34" xfId="3459"/>
    <cellStyle name="40% - Accent3 35" xfId="3460"/>
    <cellStyle name="40% - Accent3 36" xfId="3461"/>
    <cellStyle name="40% - Accent3 37" xfId="3462"/>
    <cellStyle name="40% - Accent3 38" xfId="3463"/>
    <cellStyle name="40% - Accent3 39" xfId="3464"/>
    <cellStyle name="40% - Accent3 4" xfId="1786"/>
    <cellStyle name="40% - Accent3 4 2" xfId="1787"/>
    <cellStyle name="40% - Accent3 4 3" xfId="3465"/>
    <cellStyle name="40% - Accent3 40" xfId="3466"/>
    <cellStyle name="40% - Accent3 41" xfId="3467"/>
    <cellStyle name="40% - Accent3 42" xfId="3468"/>
    <cellStyle name="40% - Accent3 43" xfId="3469"/>
    <cellStyle name="40% - Accent3 44" xfId="3470"/>
    <cellStyle name="40% - Accent3 45" xfId="3471"/>
    <cellStyle name="40% - Accent3 46" xfId="3472"/>
    <cellStyle name="40% - Accent3 47" xfId="3473"/>
    <cellStyle name="40% - Accent3 5" xfId="1788"/>
    <cellStyle name="40% - Accent3 5 2" xfId="1789"/>
    <cellStyle name="40% - Accent3 5 3" xfId="3474"/>
    <cellStyle name="40% - Accent3 6" xfId="1790"/>
    <cellStyle name="40% - Accent3 7" xfId="1791"/>
    <cellStyle name="40% - Accent3 8" xfId="1792"/>
    <cellStyle name="40% - Accent3 9" xfId="1793"/>
    <cellStyle name="40% - Accent4" xfId="247" builtinId="43" customBuiltin="1"/>
    <cellStyle name="40% - Accent4 10" xfId="1794"/>
    <cellStyle name="40% - Accent4 11" xfId="1795"/>
    <cellStyle name="40% - Accent4 12" xfId="1796"/>
    <cellStyle name="40% - Accent4 13" xfId="1797"/>
    <cellStyle name="40% - Accent4 14" xfId="3475"/>
    <cellStyle name="40% - Accent4 15" xfId="3476"/>
    <cellStyle name="40% - Accent4 16" xfId="3477"/>
    <cellStyle name="40% - Accent4 17" xfId="3478"/>
    <cellStyle name="40% - Accent4 18" xfId="3479"/>
    <cellStyle name="40% - Accent4 19" xfId="3480"/>
    <cellStyle name="40% - Accent4 2" xfId="1798"/>
    <cellStyle name="40% - Accent4 2 2" xfId="1799"/>
    <cellStyle name="40% - Accent4 2 2 2" xfId="1800"/>
    <cellStyle name="40% - Accent4 2 3" xfId="1801"/>
    <cellStyle name="40% - Accent4 2 3 2" xfId="1802"/>
    <cellStyle name="40% - Accent4 2 4" xfId="1803"/>
    <cellStyle name="40% - Accent4 2_MedaSTAT &amp; NPUT FA Roll Forward" xfId="1804"/>
    <cellStyle name="40% - Accent4 20" xfId="3481"/>
    <cellStyle name="40% - Accent4 21" xfId="3482"/>
    <cellStyle name="40% - Accent4 22" xfId="3483"/>
    <cellStyle name="40% - Accent4 23" xfId="3484"/>
    <cellStyle name="40% - Accent4 24" xfId="3485"/>
    <cellStyle name="40% - Accent4 25" xfId="3486"/>
    <cellStyle name="40% - Accent4 26" xfId="3487"/>
    <cellStyle name="40% - Accent4 27" xfId="3488"/>
    <cellStyle name="40% - Accent4 28" xfId="3489"/>
    <cellStyle name="40% - Accent4 29" xfId="3490"/>
    <cellStyle name="40% - Accent4 3" xfId="1805"/>
    <cellStyle name="40% - Accent4 3 2" xfId="1806"/>
    <cellStyle name="40% - Accent4 3 2 2" xfId="1807"/>
    <cellStyle name="40% - Accent4 3 3" xfId="1808"/>
    <cellStyle name="40% - Accent4 3 3 2" xfId="1809"/>
    <cellStyle name="40% - Accent4 3 4" xfId="1810"/>
    <cellStyle name="40% - Accent4 30" xfId="3491"/>
    <cellStyle name="40% - Accent4 31" xfId="3492"/>
    <cellStyle name="40% - Accent4 32" xfId="3493"/>
    <cellStyle name="40% - Accent4 33" xfId="3494"/>
    <cellStyle name="40% - Accent4 34" xfId="3495"/>
    <cellStyle name="40% - Accent4 35" xfId="3496"/>
    <cellStyle name="40% - Accent4 36" xfId="3497"/>
    <cellStyle name="40% - Accent4 37" xfId="3498"/>
    <cellStyle name="40% - Accent4 38" xfId="3499"/>
    <cellStyle name="40% - Accent4 39" xfId="3500"/>
    <cellStyle name="40% - Accent4 4" xfId="1811"/>
    <cellStyle name="40% - Accent4 4 2" xfId="1812"/>
    <cellStyle name="40% - Accent4 4 3" xfId="3501"/>
    <cellStyle name="40% - Accent4 40" xfId="3502"/>
    <cellStyle name="40% - Accent4 41" xfId="3503"/>
    <cellStyle name="40% - Accent4 42" xfId="3504"/>
    <cellStyle name="40% - Accent4 43" xfId="3505"/>
    <cellStyle name="40% - Accent4 44" xfId="3506"/>
    <cellStyle name="40% - Accent4 45" xfId="3507"/>
    <cellStyle name="40% - Accent4 46" xfId="3508"/>
    <cellStyle name="40% - Accent4 47" xfId="3509"/>
    <cellStyle name="40% - Accent4 5" xfId="1813"/>
    <cellStyle name="40% - Accent4 5 2" xfId="1814"/>
    <cellStyle name="40% - Accent4 5 3" xfId="3510"/>
    <cellStyle name="40% - Accent4 6" xfId="1815"/>
    <cellStyle name="40% - Accent4 7" xfId="1816"/>
    <cellStyle name="40% - Accent4 8" xfId="1817"/>
    <cellStyle name="40% - Accent4 9" xfId="1818"/>
    <cellStyle name="40% - Accent5" xfId="248" builtinId="47" customBuiltin="1"/>
    <cellStyle name="40% - Accent5 10" xfId="1819"/>
    <cellStyle name="40% - Accent5 11" xfId="1820"/>
    <cellStyle name="40% - Accent5 12" xfId="1821"/>
    <cellStyle name="40% - Accent5 13" xfId="1822"/>
    <cellStyle name="40% - Accent5 14" xfId="3511"/>
    <cellStyle name="40% - Accent5 15" xfId="3512"/>
    <cellStyle name="40% - Accent5 16" xfId="3513"/>
    <cellStyle name="40% - Accent5 17" xfId="3514"/>
    <cellStyle name="40% - Accent5 18" xfId="3515"/>
    <cellStyle name="40% - Accent5 19" xfId="3516"/>
    <cellStyle name="40% - Accent5 2" xfId="1823"/>
    <cellStyle name="40% - Accent5 2 2" xfId="1824"/>
    <cellStyle name="40% - Accent5 2 2 2" xfId="1825"/>
    <cellStyle name="40% - Accent5 2 3" xfId="1826"/>
    <cellStyle name="40% - Accent5 2 3 2" xfId="1827"/>
    <cellStyle name="40% - Accent5 2 4" xfId="1828"/>
    <cellStyle name="40% - Accent5 2_MedaSTAT &amp; NPUT FA Roll Forward" xfId="1829"/>
    <cellStyle name="40% - Accent5 20" xfId="3517"/>
    <cellStyle name="40% - Accent5 21" xfId="3518"/>
    <cellStyle name="40% - Accent5 22" xfId="3519"/>
    <cellStyle name="40% - Accent5 23" xfId="3520"/>
    <cellStyle name="40% - Accent5 24" xfId="3521"/>
    <cellStyle name="40% - Accent5 25" xfId="3522"/>
    <cellStyle name="40% - Accent5 26" xfId="3523"/>
    <cellStyle name="40% - Accent5 27" xfId="3524"/>
    <cellStyle name="40% - Accent5 28" xfId="3525"/>
    <cellStyle name="40% - Accent5 29" xfId="3526"/>
    <cellStyle name="40% - Accent5 3" xfId="1830"/>
    <cellStyle name="40% - Accent5 3 2" xfId="1831"/>
    <cellStyle name="40% - Accent5 3 2 2" xfId="1832"/>
    <cellStyle name="40% - Accent5 3 3" xfId="1833"/>
    <cellStyle name="40% - Accent5 3 3 2" xfId="1834"/>
    <cellStyle name="40% - Accent5 3 4" xfId="1835"/>
    <cellStyle name="40% - Accent5 30" xfId="3527"/>
    <cellStyle name="40% - Accent5 31" xfId="3528"/>
    <cellStyle name="40% - Accent5 32" xfId="3529"/>
    <cellStyle name="40% - Accent5 33" xfId="3530"/>
    <cellStyle name="40% - Accent5 34" xfId="3531"/>
    <cellStyle name="40% - Accent5 35" xfId="3532"/>
    <cellStyle name="40% - Accent5 36" xfId="3533"/>
    <cellStyle name="40% - Accent5 37" xfId="3534"/>
    <cellStyle name="40% - Accent5 38" xfId="3535"/>
    <cellStyle name="40% - Accent5 39" xfId="3536"/>
    <cellStyle name="40% - Accent5 4" xfId="1836"/>
    <cellStyle name="40% - Accent5 4 2" xfId="1837"/>
    <cellStyle name="40% - Accent5 4 3" xfId="3537"/>
    <cellStyle name="40% - Accent5 40" xfId="3538"/>
    <cellStyle name="40% - Accent5 41" xfId="3539"/>
    <cellStyle name="40% - Accent5 42" xfId="3540"/>
    <cellStyle name="40% - Accent5 43" xfId="3541"/>
    <cellStyle name="40% - Accent5 44" xfId="3542"/>
    <cellStyle name="40% - Accent5 45" xfId="3543"/>
    <cellStyle name="40% - Accent5 46" xfId="3544"/>
    <cellStyle name="40% - Accent5 47" xfId="3545"/>
    <cellStyle name="40% - Accent5 5" xfId="1838"/>
    <cellStyle name="40% - Accent5 5 2" xfId="1839"/>
    <cellStyle name="40% - Accent5 5 3" xfId="3546"/>
    <cellStyle name="40% - Accent5 6" xfId="1840"/>
    <cellStyle name="40% - Accent5 7" xfId="1841"/>
    <cellStyle name="40% - Accent5 8" xfId="1842"/>
    <cellStyle name="40% - Accent5 9" xfId="1843"/>
    <cellStyle name="40% - Accent6" xfId="249" builtinId="51" customBuiltin="1"/>
    <cellStyle name="40% - Accent6 10" xfId="1844"/>
    <cellStyle name="40% - Accent6 11" xfId="1845"/>
    <cellStyle name="40% - Accent6 12" xfId="1846"/>
    <cellStyle name="40% - Accent6 13" xfId="1847"/>
    <cellStyle name="40% - Accent6 14" xfId="3547"/>
    <cellStyle name="40% - Accent6 15" xfId="3548"/>
    <cellStyle name="40% - Accent6 16" xfId="3549"/>
    <cellStyle name="40% - Accent6 17" xfId="3550"/>
    <cellStyle name="40% - Accent6 18" xfId="3551"/>
    <cellStyle name="40% - Accent6 19" xfId="3552"/>
    <cellStyle name="40% - Accent6 2" xfId="1848"/>
    <cellStyle name="40% - Accent6 2 2" xfId="1849"/>
    <cellStyle name="40% - Accent6 2 2 2" xfId="1850"/>
    <cellStyle name="40% - Accent6 2 3" xfId="1851"/>
    <cellStyle name="40% - Accent6 2 3 2" xfId="1852"/>
    <cellStyle name="40% - Accent6 2 4" xfId="1853"/>
    <cellStyle name="40% - Accent6 2_MedaSTAT &amp; NPUT FA Roll Forward" xfId="1854"/>
    <cellStyle name="40% - Accent6 20" xfId="3553"/>
    <cellStyle name="40% - Accent6 21" xfId="3554"/>
    <cellStyle name="40% - Accent6 22" xfId="3555"/>
    <cellStyle name="40% - Accent6 23" xfId="3556"/>
    <cellStyle name="40% - Accent6 24" xfId="3557"/>
    <cellStyle name="40% - Accent6 25" xfId="3558"/>
    <cellStyle name="40% - Accent6 26" xfId="3559"/>
    <cellStyle name="40% - Accent6 27" xfId="3560"/>
    <cellStyle name="40% - Accent6 28" xfId="3561"/>
    <cellStyle name="40% - Accent6 29" xfId="3562"/>
    <cellStyle name="40% - Accent6 3" xfId="1855"/>
    <cellStyle name="40% - Accent6 3 2" xfId="1856"/>
    <cellStyle name="40% - Accent6 3 2 2" xfId="1857"/>
    <cellStyle name="40% - Accent6 3 3" xfId="1858"/>
    <cellStyle name="40% - Accent6 3 3 2" xfId="1859"/>
    <cellStyle name="40% - Accent6 3 4" xfId="1860"/>
    <cellStyle name="40% - Accent6 30" xfId="3563"/>
    <cellStyle name="40% - Accent6 31" xfId="3564"/>
    <cellStyle name="40% - Accent6 32" xfId="3565"/>
    <cellStyle name="40% - Accent6 33" xfId="3566"/>
    <cellStyle name="40% - Accent6 34" xfId="3567"/>
    <cellStyle name="40% - Accent6 35" xfId="3568"/>
    <cellStyle name="40% - Accent6 36" xfId="3569"/>
    <cellStyle name="40% - Accent6 37" xfId="3570"/>
    <cellStyle name="40% - Accent6 38" xfId="3571"/>
    <cellStyle name="40% - Accent6 39" xfId="3572"/>
    <cellStyle name="40% - Accent6 4" xfId="1861"/>
    <cellStyle name="40% - Accent6 4 2" xfId="1862"/>
    <cellStyle name="40% - Accent6 4 3" xfId="3573"/>
    <cellStyle name="40% - Accent6 40" xfId="3574"/>
    <cellStyle name="40% - Accent6 41" xfId="3575"/>
    <cellStyle name="40% - Accent6 42" xfId="3576"/>
    <cellStyle name="40% - Accent6 43" xfId="3577"/>
    <cellStyle name="40% - Accent6 44" xfId="3578"/>
    <cellStyle name="40% - Accent6 45" xfId="3579"/>
    <cellStyle name="40% - Accent6 46" xfId="3580"/>
    <cellStyle name="40% - Accent6 47" xfId="3581"/>
    <cellStyle name="40% - Accent6 5" xfId="1863"/>
    <cellStyle name="40% - Accent6 5 2" xfId="1864"/>
    <cellStyle name="40% - Accent6 5 3" xfId="3582"/>
    <cellStyle name="40% - Accent6 6" xfId="1865"/>
    <cellStyle name="40% - Accent6 7" xfId="1866"/>
    <cellStyle name="40% - Accent6 8" xfId="1867"/>
    <cellStyle name="40% - Accent6 9" xfId="1868"/>
    <cellStyle name="40% - Ênfase1" xfId="3583"/>
    <cellStyle name="40% - Ênfase2" xfId="3584"/>
    <cellStyle name="40% - Ênfase3" xfId="3585"/>
    <cellStyle name="40% - Ênfase4" xfId="3586"/>
    <cellStyle name="40% - Ênfase5" xfId="3587"/>
    <cellStyle name="40% - Ênfase6" xfId="3588"/>
    <cellStyle name="40% - Énfasis1 10" xfId="3589"/>
    <cellStyle name="40% - Énfasis1 10 2" xfId="3590"/>
    <cellStyle name="40% - Énfasis1 11" xfId="3591"/>
    <cellStyle name="40% - Énfasis1 11 2" xfId="3592"/>
    <cellStyle name="40% - Énfasis1 12" xfId="3593"/>
    <cellStyle name="40% - Énfasis1 12 2" xfId="3594"/>
    <cellStyle name="40% - Énfasis1 13" xfId="3595"/>
    <cellStyle name="40% - Énfasis1 13 2" xfId="3596"/>
    <cellStyle name="40% - Énfasis1 14" xfId="3597"/>
    <cellStyle name="40% - Énfasis1 14 2" xfId="3598"/>
    <cellStyle name="40% - Énfasis1 15" xfId="3599"/>
    <cellStyle name="40% - Énfasis1 15 2" xfId="3600"/>
    <cellStyle name="40% - Énfasis1 16" xfId="3601"/>
    <cellStyle name="40% - Énfasis1 16 2" xfId="3602"/>
    <cellStyle name="40% - Énfasis1 17" xfId="3603"/>
    <cellStyle name="40% - Énfasis1 17 2" xfId="3604"/>
    <cellStyle name="40% - Énfasis1 18" xfId="3605"/>
    <cellStyle name="40% - Énfasis1 18 2" xfId="3606"/>
    <cellStyle name="40% - Énfasis1 19" xfId="3607"/>
    <cellStyle name="40% - Énfasis1 19 2" xfId="3608"/>
    <cellStyle name="40% - Énfasis1 2" xfId="3609"/>
    <cellStyle name="40% - Énfasis1 2 2" xfId="3610"/>
    <cellStyle name="40% - Énfasis1 20" xfId="3611"/>
    <cellStyle name="40% - Énfasis1 20 2" xfId="3612"/>
    <cellStyle name="40% - Énfasis1 21" xfId="3613"/>
    <cellStyle name="40% - Énfasis1 21 2" xfId="3614"/>
    <cellStyle name="40% - Énfasis1 22" xfId="3615"/>
    <cellStyle name="40% - Énfasis1 22 2" xfId="3616"/>
    <cellStyle name="40% - Énfasis1 23" xfId="3617"/>
    <cellStyle name="40% - Énfasis1 23 2" xfId="3618"/>
    <cellStyle name="40% - Énfasis1 24" xfId="3619"/>
    <cellStyle name="40% - Énfasis1 24 2" xfId="3620"/>
    <cellStyle name="40% - Énfasis1 25" xfId="3621"/>
    <cellStyle name="40% - Énfasis1 25 2" xfId="3622"/>
    <cellStyle name="40% - Énfasis1 26" xfId="3623"/>
    <cellStyle name="40% - Énfasis1 26 2" xfId="3624"/>
    <cellStyle name="40% - Énfasis1 27" xfId="3625"/>
    <cellStyle name="40% - Énfasis1 27 2" xfId="3626"/>
    <cellStyle name="40% - Énfasis1 28" xfId="3627"/>
    <cellStyle name="40% - Énfasis1 28 2" xfId="3628"/>
    <cellStyle name="40% - Énfasis1 29" xfId="3629"/>
    <cellStyle name="40% - Énfasis1 29 2" xfId="3630"/>
    <cellStyle name="40% - Énfasis1 3" xfId="3631"/>
    <cellStyle name="40% - Énfasis1 3 2" xfId="3632"/>
    <cellStyle name="40% - Énfasis1 30" xfId="3633"/>
    <cellStyle name="40% - Énfasis1 30 2" xfId="3634"/>
    <cellStyle name="40% - Énfasis1 31" xfId="3635"/>
    <cellStyle name="40% - Énfasis1 31 2" xfId="3636"/>
    <cellStyle name="40% - Énfasis1 32" xfId="3637"/>
    <cellStyle name="40% - Énfasis1 32 2" xfId="3638"/>
    <cellStyle name="40% - Énfasis1 33" xfId="3639"/>
    <cellStyle name="40% - Énfasis1 33 2" xfId="3640"/>
    <cellStyle name="40% - Énfasis1 34" xfId="3641"/>
    <cellStyle name="40% - Énfasis1 34 2" xfId="3642"/>
    <cellStyle name="40% - Énfasis1 35" xfId="3643"/>
    <cellStyle name="40% - Énfasis1 35 2" xfId="3644"/>
    <cellStyle name="40% - Énfasis1 36" xfId="3645"/>
    <cellStyle name="40% - Énfasis1 36 2" xfId="3646"/>
    <cellStyle name="40% - Énfasis1 37" xfId="3647"/>
    <cellStyle name="40% - Énfasis1 37 2" xfId="3648"/>
    <cellStyle name="40% - Énfasis1 38" xfId="3649"/>
    <cellStyle name="40% - Énfasis1 38 2" xfId="3650"/>
    <cellStyle name="40% - Énfasis1 39" xfId="3651"/>
    <cellStyle name="40% - Énfasis1 39 2" xfId="3652"/>
    <cellStyle name="40% - Énfasis1 4" xfId="3653"/>
    <cellStyle name="40% - Énfasis1 4 2" xfId="3654"/>
    <cellStyle name="40% - Énfasis1 40" xfId="3655"/>
    <cellStyle name="40% - Énfasis1 40 2" xfId="3656"/>
    <cellStyle name="40% - Énfasis1 41" xfId="3657"/>
    <cellStyle name="40% - Énfasis1 41 2" xfId="3658"/>
    <cellStyle name="40% - Énfasis1 42" xfId="3659"/>
    <cellStyle name="40% - Énfasis1 5" xfId="3660"/>
    <cellStyle name="40% - Énfasis1 5 2" xfId="3661"/>
    <cellStyle name="40% - Énfasis1 6" xfId="3662"/>
    <cellStyle name="40% - Énfasis1 6 2" xfId="3663"/>
    <cellStyle name="40% - Énfasis1 7" xfId="3664"/>
    <cellStyle name="40% - Énfasis1 7 2" xfId="3665"/>
    <cellStyle name="40% - Énfasis1 8" xfId="3666"/>
    <cellStyle name="40% - Énfasis1 8 2" xfId="3667"/>
    <cellStyle name="40% - Énfasis1 9" xfId="3668"/>
    <cellStyle name="40% - Énfasis1 9 2" xfId="3669"/>
    <cellStyle name="40% - Énfasis1_Bases Formato 1" xfId="3670"/>
    <cellStyle name="40% - Énfasis2 10" xfId="3671"/>
    <cellStyle name="40% - Énfasis2 10 2" xfId="3672"/>
    <cellStyle name="40% - Énfasis2 11" xfId="3673"/>
    <cellStyle name="40% - Énfasis2 11 2" xfId="3674"/>
    <cellStyle name="40% - Énfasis2 12" xfId="3675"/>
    <cellStyle name="40% - Énfasis2 12 2" xfId="3676"/>
    <cellStyle name="40% - Énfasis2 13" xfId="3677"/>
    <cellStyle name="40% - Énfasis2 13 2" xfId="3678"/>
    <cellStyle name="40% - Énfasis2 14" xfId="3679"/>
    <cellStyle name="40% - Énfasis2 14 2" xfId="3680"/>
    <cellStyle name="40% - Énfasis2 15" xfId="3681"/>
    <cellStyle name="40% - Énfasis2 15 2" xfId="3682"/>
    <cellStyle name="40% - Énfasis2 16" xfId="3683"/>
    <cellStyle name="40% - Énfasis2 16 2" xfId="3684"/>
    <cellStyle name="40% - Énfasis2 17" xfId="3685"/>
    <cellStyle name="40% - Énfasis2 17 2" xfId="3686"/>
    <cellStyle name="40% - Énfasis2 18" xfId="3687"/>
    <cellStyle name="40% - Énfasis2 18 2" xfId="3688"/>
    <cellStyle name="40% - Énfasis2 19" xfId="3689"/>
    <cellStyle name="40% - Énfasis2 19 2" xfId="3690"/>
    <cellStyle name="40% - Énfasis2 2" xfId="3691"/>
    <cellStyle name="40% - Énfasis2 2 2" xfId="3692"/>
    <cellStyle name="40% - Énfasis2 20" xfId="3693"/>
    <cellStyle name="40% - Énfasis2 20 2" xfId="3694"/>
    <cellStyle name="40% - Énfasis2 21" xfId="3695"/>
    <cellStyle name="40% - Énfasis2 21 2" xfId="3696"/>
    <cellStyle name="40% - Énfasis2 22" xfId="3697"/>
    <cellStyle name="40% - Énfasis2 22 2" xfId="3698"/>
    <cellStyle name="40% - Énfasis2 23" xfId="3699"/>
    <cellStyle name="40% - Énfasis2 23 2" xfId="3700"/>
    <cellStyle name="40% - Énfasis2 24" xfId="3701"/>
    <cellStyle name="40% - Énfasis2 24 2" xfId="3702"/>
    <cellStyle name="40% - Énfasis2 25" xfId="3703"/>
    <cellStyle name="40% - Énfasis2 25 2" xfId="3704"/>
    <cellStyle name="40% - Énfasis2 26" xfId="3705"/>
    <cellStyle name="40% - Énfasis2 26 2" xfId="3706"/>
    <cellStyle name="40% - Énfasis2 27" xfId="3707"/>
    <cellStyle name="40% - Énfasis2 27 2" xfId="3708"/>
    <cellStyle name="40% - Énfasis2 28" xfId="3709"/>
    <cellStyle name="40% - Énfasis2 28 2" xfId="3710"/>
    <cellStyle name="40% - Énfasis2 29" xfId="3711"/>
    <cellStyle name="40% - Énfasis2 29 2" xfId="3712"/>
    <cellStyle name="40% - Énfasis2 3" xfId="3713"/>
    <cellStyle name="40% - Énfasis2 3 2" xfId="3714"/>
    <cellStyle name="40% - Énfasis2 30" xfId="3715"/>
    <cellStyle name="40% - Énfasis2 30 2" xfId="3716"/>
    <cellStyle name="40% - Énfasis2 31" xfId="3717"/>
    <cellStyle name="40% - Énfasis2 31 2" xfId="3718"/>
    <cellStyle name="40% - Énfasis2 32" xfId="3719"/>
    <cellStyle name="40% - Énfasis2 32 2" xfId="3720"/>
    <cellStyle name="40% - Énfasis2 33" xfId="3721"/>
    <cellStyle name="40% - Énfasis2 33 2" xfId="3722"/>
    <cellStyle name="40% - Énfasis2 34" xfId="3723"/>
    <cellStyle name="40% - Énfasis2 34 2" xfId="3724"/>
    <cellStyle name="40% - Énfasis2 35" xfId="3725"/>
    <cellStyle name="40% - Énfasis2 35 2" xfId="3726"/>
    <cellStyle name="40% - Énfasis2 36" xfId="3727"/>
    <cellStyle name="40% - Énfasis2 36 2" xfId="3728"/>
    <cellStyle name="40% - Énfasis2 37" xfId="3729"/>
    <cellStyle name="40% - Énfasis2 37 2" xfId="3730"/>
    <cellStyle name="40% - Énfasis2 38" xfId="3731"/>
    <cellStyle name="40% - Énfasis2 38 2" xfId="3732"/>
    <cellStyle name="40% - Énfasis2 39" xfId="3733"/>
    <cellStyle name="40% - Énfasis2 39 2" xfId="3734"/>
    <cellStyle name="40% - Énfasis2 4" xfId="3735"/>
    <cellStyle name="40% - Énfasis2 4 2" xfId="3736"/>
    <cellStyle name="40% - Énfasis2 40" xfId="3737"/>
    <cellStyle name="40% - Énfasis2 40 2" xfId="3738"/>
    <cellStyle name="40% - Énfasis2 41" xfId="3739"/>
    <cellStyle name="40% - Énfasis2 41 2" xfId="3740"/>
    <cellStyle name="40% - Énfasis2 42" xfId="3741"/>
    <cellStyle name="40% - Énfasis2 5" xfId="3742"/>
    <cellStyle name="40% - Énfasis2 5 2" xfId="3743"/>
    <cellStyle name="40% - Énfasis2 6" xfId="3744"/>
    <cellStyle name="40% - Énfasis2 6 2" xfId="3745"/>
    <cellStyle name="40% - Énfasis2 7" xfId="3746"/>
    <cellStyle name="40% - Énfasis2 7 2" xfId="3747"/>
    <cellStyle name="40% - Énfasis2 8" xfId="3748"/>
    <cellStyle name="40% - Énfasis2 8 2" xfId="3749"/>
    <cellStyle name="40% - Énfasis2 9" xfId="3750"/>
    <cellStyle name="40% - Énfasis2 9 2" xfId="3751"/>
    <cellStyle name="40% - Énfasis2_Bases Formato 1" xfId="3752"/>
    <cellStyle name="40% - Énfasis3 10" xfId="3753"/>
    <cellStyle name="40% - Énfasis3 10 2" xfId="3754"/>
    <cellStyle name="40% - Énfasis3 11" xfId="3755"/>
    <cellStyle name="40% - Énfasis3 11 2" xfId="3756"/>
    <cellStyle name="40% - Énfasis3 12" xfId="3757"/>
    <cellStyle name="40% - Énfasis3 12 2" xfId="3758"/>
    <cellStyle name="40% - Énfasis3 13" xfId="3759"/>
    <cellStyle name="40% - Énfasis3 13 2" xfId="3760"/>
    <cellStyle name="40% - Énfasis3 14" xfId="3761"/>
    <cellStyle name="40% - Énfasis3 14 2" xfId="3762"/>
    <cellStyle name="40% - Énfasis3 15" xfId="3763"/>
    <cellStyle name="40% - Énfasis3 15 2" xfId="3764"/>
    <cellStyle name="40% - Énfasis3 16" xfId="3765"/>
    <cellStyle name="40% - Énfasis3 16 2" xfId="3766"/>
    <cellStyle name="40% - Énfasis3 17" xfId="3767"/>
    <cellStyle name="40% - Énfasis3 17 2" xfId="3768"/>
    <cellStyle name="40% - Énfasis3 18" xfId="3769"/>
    <cellStyle name="40% - Énfasis3 18 2" xfId="3770"/>
    <cellStyle name="40% - Énfasis3 19" xfId="3771"/>
    <cellStyle name="40% - Énfasis3 19 2" xfId="3772"/>
    <cellStyle name="40% - Énfasis3 2" xfId="3773"/>
    <cellStyle name="40% - Énfasis3 2 2" xfId="3774"/>
    <cellStyle name="40% - Énfasis3 20" xfId="3775"/>
    <cellStyle name="40% - Énfasis3 20 2" xfId="3776"/>
    <cellStyle name="40% - Énfasis3 21" xfId="3777"/>
    <cellStyle name="40% - Énfasis3 21 2" xfId="3778"/>
    <cellStyle name="40% - Énfasis3 22" xfId="3779"/>
    <cellStyle name="40% - Énfasis3 22 2" xfId="3780"/>
    <cellStyle name="40% - Énfasis3 23" xfId="3781"/>
    <cellStyle name="40% - Énfasis3 23 2" xfId="3782"/>
    <cellStyle name="40% - Énfasis3 24" xfId="3783"/>
    <cellStyle name="40% - Énfasis3 24 2" xfId="3784"/>
    <cellStyle name="40% - Énfasis3 25" xfId="3785"/>
    <cellStyle name="40% - Énfasis3 25 2" xfId="3786"/>
    <cellStyle name="40% - Énfasis3 26" xfId="3787"/>
    <cellStyle name="40% - Énfasis3 26 2" xfId="3788"/>
    <cellStyle name="40% - Énfasis3 27" xfId="3789"/>
    <cellStyle name="40% - Énfasis3 27 2" xfId="3790"/>
    <cellStyle name="40% - Énfasis3 28" xfId="3791"/>
    <cellStyle name="40% - Énfasis3 28 2" xfId="3792"/>
    <cellStyle name="40% - Énfasis3 29" xfId="3793"/>
    <cellStyle name="40% - Énfasis3 29 2" xfId="3794"/>
    <cellStyle name="40% - Énfasis3 3" xfId="3795"/>
    <cellStyle name="40% - Énfasis3 3 2" xfId="3796"/>
    <cellStyle name="40% - Énfasis3 30" xfId="3797"/>
    <cellStyle name="40% - Énfasis3 30 2" xfId="3798"/>
    <cellStyle name="40% - Énfasis3 31" xfId="3799"/>
    <cellStyle name="40% - Énfasis3 31 2" xfId="3800"/>
    <cellStyle name="40% - Énfasis3 32" xfId="3801"/>
    <cellStyle name="40% - Énfasis3 32 2" xfId="3802"/>
    <cellStyle name="40% - Énfasis3 33" xfId="3803"/>
    <cellStyle name="40% - Énfasis3 33 2" xfId="3804"/>
    <cellStyle name="40% - Énfasis3 34" xfId="3805"/>
    <cellStyle name="40% - Énfasis3 34 2" xfId="3806"/>
    <cellStyle name="40% - Énfasis3 35" xfId="3807"/>
    <cellStyle name="40% - Énfasis3 35 2" xfId="3808"/>
    <cellStyle name="40% - Énfasis3 36" xfId="3809"/>
    <cellStyle name="40% - Énfasis3 36 2" xfId="3810"/>
    <cellStyle name="40% - Énfasis3 37" xfId="3811"/>
    <cellStyle name="40% - Énfasis3 37 2" xfId="3812"/>
    <cellStyle name="40% - Énfasis3 38" xfId="3813"/>
    <cellStyle name="40% - Énfasis3 38 2" xfId="3814"/>
    <cellStyle name="40% - Énfasis3 39" xfId="3815"/>
    <cellStyle name="40% - Énfasis3 39 2" xfId="3816"/>
    <cellStyle name="40% - Énfasis3 4" xfId="3817"/>
    <cellStyle name="40% - Énfasis3 4 2" xfId="3818"/>
    <cellStyle name="40% - Énfasis3 40" xfId="3819"/>
    <cellStyle name="40% - Énfasis3 40 2" xfId="3820"/>
    <cellStyle name="40% - Énfasis3 41" xfId="3821"/>
    <cellStyle name="40% - Énfasis3 41 2" xfId="3822"/>
    <cellStyle name="40% - Énfasis3 42" xfId="3823"/>
    <cellStyle name="40% - Énfasis3 5" xfId="3824"/>
    <cellStyle name="40% - Énfasis3 5 2" xfId="3825"/>
    <cellStyle name="40% - Énfasis3 6" xfId="3826"/>
    <cellStyle name="40% - Énfasis3 6 2" xfId="3827"/>
    <cellStyle name="40% - Énfasis3 7" xfId="3828"/>
    <cellStyle name="40% - Énfasis3 7 2" xfId="3829"/>
    <cellStyle name="40% - Énfasis3 8" xfId="3830"/>
    <cellStyle name="40% - Énfasis3 8 2" xfId="3831"/>
    <cellStyle name="40% - Énfasis3 9" xfId="3832"/>
    <cellStyle name="40% - Énfasis3 9 2" xfId="3833"/>
    <cellStyle name="40% - Énfasis3_Bases Formato 1" xfId="3834"/>
    <cellStyle name="40% - Énfasis4 10" xfId="3835"/>
    <cellStyle name="40% - Énfasis4 10 2" xfId="3836"/>
    <cellStyle name="40% - Énfasis4 11" xfId="3837"/>
    <cellStyle name="40% - Énfasis4 11 2" xfId="3838"/>
    <cellStyle name="40% - Énfasis4 12" xfId="3839"/>
    <cellStyle name="40% - Énfasis4 12 2" xfId="3840"/>
    <cellStyle name="40% - Énfasis4 13" xfId="3841"/>
    <cellStyle name="40% - Énfasis4 13 2" xfId="3842"/>
    <cellStyle name="40% - Énfasis4 14" xfId="3843"/>
    <cellStyle name="40% - Énfasis4 14 2" xfId="3844"/>
    <cellStyle name="40% - Énfasis4 15" xfId="3845"/>
    <cellStyle name="40% - Énfasis4 15 2" xfId="3846"/>
    <cellStyle name="40% - Énfasis4 16" xfId="3847"/>
    <cellStyle name="40% - Énfasis4 16 2" xfId="3848"/>
    <cellStyle name="40% - Énfasis4 17" xfId="3849"/>
    <cellStyle name="40% - Énfasis4 17 2" xfId="3850"/>
    <cellStyle name="40% - Énfasis4 18" xfId="3851"/>
    <cellStyle name="40% - Énfasis4 18 2" xfId="3852"/>
    <cellStyle name="40% - Énfasis4 19" xfId="3853"/>
    <cellStyle name="40% - Énfasis4 19 2" xfId="3854"/>
    <cellStyle name="40% - Énfasis4 2" xfId="3855"/>
    <cellStyle name="40% - Énfasis4 2 2" xfId="3856"/>
    <cellStyle name="40% - Énfasis4 20" xfId="3857"/>
    <cellStyle name="40% - Énfasis4 20 2" xfId="3858"/>
    <cellStyle name="40% - Énfasis4 21" xfId="3859"/>
    <cellStyle name="40% - Énfasis4 21 2" xfId="3860"/>
    <cellStyle name="40% - Énfasis4 22" xfId="3861"/>
    <cellStyle name="40% - Énfasis4 22 2" xfId="3862"/>
    <cellStyle name="40% - Énfasis4 23" xfId="3863"/>
    <cellStyle name="40% - Énfasis4 23 2" xfId="3864"/>
    <cellStyle name="40% - Énfasis4 24" xfId="3865"/>
    <cellStyle name="40% - Énfasis4 24 2" xfId="3866"/>
    <cellStyle name="40% - Énfasis4 25" xfId="3867"/>
    <cellStyle name="40% - Énfasis4 25 2" xfId="3868"/>
    <cellStyle name="40% - Énfasis4 26" xfId="3869"/>
    <cellStyle name="40% - Énfasis4 26 2" xfId="3870"/>
    <cellStyle name="40% - Énfasis4 27" xfId="3871"/>
    <cellStyle name="40% - Énfasis4 27 2" xfId="3872"/>
    <cellStyle name="40% - Énfasis4 28" xfId="3873"/>
    <cellStyle name="40% - Énfasis4 28 2" xfId="3874"/>
    <cellStyle name="40% - Énfasis4 29" xfId="3875"/>
    <cellStyle name="40% - Énfasis4 29 2" xfId="3876"/>
    <cellStyle name="40% - Énfasis4 3" xfId="3877"/>
    <cellStyle name="40% - Énfasis4 3 2" xfId="3878"/>
    <cellStyle name="40% - Énfasis4 30" xfId="3879"/>
    <cellStyle name="40% - Énfasis4 30 2" xfId="3880"/>
    <cellStyle name="40% - Énfasis4 31" xfId="3881"/>
    <cellStyle name="40% - Énfasis4 31 2" xfId="3882"/>
    <cellStyle name="40% - Énfasis4 32" xfId="3883"/>
    <cellStyle name="40% - Énfasis4 32 2" xfId="3884"/>
    <cellStyle name="40% - Énfasis4 33" xfId="3885"/>
    <cellStyle name="40% - Énfasis4 33 2" xfId="3886"/>
    <cellStyle name="40% - Énfasis4 34" xfId="3887"/>
    <cellStyle name="40% - Énfasis4 34 2" xfId="3888"/>
    <cellStyle name="40% - Énfasis4 35" xfId="3889"/>
    <cellStyle name="40% - Énfasis4 35 2" xfId="3890"/>
    <cellStyle name="40% - Énfasis4 36" xfId="3891"/>
    <cellStyle name="40% - Énfasis4 36 2" xfId="3892"/>
    <cellStyle name="40% - Énfasis4 37" xfId="3893"/>
    <cellStyle name="40% - Énfasis4 37 2" xfId="3894"/>
    <cellStyle name="40% - Énfasis4 38" xfId="3895"/>
    <cellStyle name="40% - Énfasis4 38 2" xfId="3896"/>
    <cellStyle name="40% - Énfasis4 39" xfId="3897"/>
    <cellStyle name="40% - Énfasis4 39 2" xfId="3898"/>
    <cellStyle name="40% - Énfasis4 4" xfId="3899"/>
    <cellStyle name="40% - Énfasis4 4 2" xfId="3900"/>
    <cellStyle name="40% - Énfasis4 40" xfId="3901"/>
    <cellStyle name="40% - Énfasis4 40 2" xfId="3902"/>
    <cellStyle name="40% - Énfasis4 41" xfId="3903"/>
    <cellStyle name="40% - Énfasis4 41 2" xfId="3904"/>
    <cellStyle name="40% - Énfasis4 42" xfId="3905"/>
    <cellStyle name="40% - Énfasis4 5" xfId="3906"/>
    <cellStyle name="40% - Énfasis4 5 2" xfId="3907"/>
    <cellStyle name="40% - Énfasis4 6" xfId="3908"/>
    <cellStyle name="40% - Énfasis4 6 2" xfId="3909"/>
    <cellStyle name="40% - Énfasis4 7" xfId="3910"/>
    <cellStyle name="40% - Énfasis4 7 2" xfId="3911"/>
    <cellStyle name="40% - Énfasis4 8" xfId="3912"/>
    <cellStyle name="40% - Énfasis4 8 2" xfId="3913"/>
    <cellStyle name="40% - Énfasis4 9" xfId="3914"/>
    <cellStyle name="40% - Énfasis4 9 2" xfId="3915"/>
    <cellStyle name="40% - Énfasis4_Bases Formato 1" xfId="3916"/>
    <cellStyle name="40% - Énfasis5 10" xfId="3917"/>
    <cellStyle name="40% - Énfasis5 10 2" xfId="3918"/>
    <cellStyle name="40% - Énfasis5 11" xfId="3919"/>
    <cellStyle name="40% - Énfasis5 11 2" xfId="3920"/>
    <cellStyle name="40% - Énfasis5 12" xfId="3921"/>
    <cellStyle name="40% - Énfasis5 12 2" xfId="3922"/>
    <cellStyle name="40% - Énfasis5 13" xfId="3923"/>
    <cellStyle name="40% - Énfasis5 13 2" xfId="3924"/>
    <cellStyle name="40% - Énfasis5 14" xfId="3925"/>
    <cellStyle name="40% - Énfasis5 14 2" xfId="3926"/>
    <cellStyle name="40% - Énfasis5 15" xfId="3927"/>
    <cellStyle name="40% - Énfasis5 15 2" xfId="3928"/>
    <cellStyle name="40% - Énfasis5 16" xfId="3929"/>
    <cellStyle name="40% - Énfasis5 16 2" xfId="3930"/>
    <cellStyle name="40% - Énfasis5 17" xfId="3931"/>
    <cellStyle name="40% - Énfasis5 17 2" xfId="3932"/>
    <cellStyle name="40% - Énfasis5 18" xfId="3933"/>
    <cellStyle name="40% - Énfasis5 18 2" xfId="3934"/>
    <cellStyle name="40% - Énfasis5 19" xfId="3935"/>
    <cellStyle name="40% - Énfasis5 19 2" xfId="3936"/>
    <cellStyle name="40% - Énfasis5 2" xfId="3937"/>
    <cellStyle name="40% - Énfasis5 2 2" xfId="3938"/>
    <cellStyle name="40% - Énfasis5 20" xfId="3939"/>
    <cellStyle name="40% - Énfasis5 20 2" xfId="3940"/>
    <cellStyle name="40% - Énfasis5 21" xfId="3941"/>
    <cellStyle name="40% - Énfasis5 21 2" xfId="3942"/>
    <cellStyle name="40% - Énfasis5 22" xfId="3943"/>
    <cellStyle name="40% - Énfasis5 22 2" xfId="3944"/>
    <cellStyle name="40% - Énfasis5 23" xfId="3945"/>
    <cellStyle name="40% - Énfasis5 23 2" xfId="3946"/>
    <cellStyle name="40% - Énfasis5 24" xfId="3947"/>
    <cellStyle name="40% - Énfasis5 24 2" xfId="3948"/>
    <cellStyle name="40% - Énfasis5 25" xfId="3949"/>
    <cellStyle name="40% - Énfasis5 25 2" xfId="3950"/>
    <cellStyle name="40% - Énfasis5 26" xfId="3951"/>
    <cellStyle name="40% - Énfasis5 26 2" xfId="3952"/>
    <cellStyle name="40% - Énfasis5 27" xfId="3953"/>
    <cellStyle name="40% - Énfasis5 27 2" xfId="3954"/>
    <cellStyle name="40% - Énfasis5 28" xfId="3955"/>
    <cellStyle name="40% - Énfasis5 28 2" xfId="3956"/>
    <cellStyle name="40% - Énfasis5 29" xfId="3957"/>
    <cellStyle name="40% - Énfasis5 29 2" xfId="3958"/>
    <cellStyle name="40% - Énfasis5 3" xfId="3959"/>
    <cellStyle name="40% - Énfasis5 3 2" xfId="3960"/>
    <cellStyle name="40% - Énfasis5 30" xfId="3961"/>
    <cellStyle name="40% - Énfasis5 30 2" xfId="3962"/>
    <cellStyle name="40% - Énfasis5 31" xfId="3963"/>
    <cellStyle name="40% - Énfasis5 31 2" xfId="3964"/>
    <cellStyle name="40% - Énfasis5 32" xfId="3965"/>
    <cellStyle name="40% - Énfasis5 32 2" xfId="3966"/>
    <cellStyle name="40% - Énfasis5 33" xfId="3967"/>
    <cellStyle name="40% - Énfasis5 33 2" xfId="3968"/>
    <cellStyle name="40% - Énfasis5 34" xfId="3969"/>
    <cellStyle name="40% - Énfasis5 34 2" xfId="3970"/>
    <cellStyle name="40% - Énfasis5 35" xfId="3971"/>
    <cellStyle name="40% - Énfasis5 35 2" xfId="3972"/>
    <cellStyle name="40% - Énfasis5 36" xfId="3973"/>
    <cellStyle name="40% - Énfasis5 36 2" xfId="3974"/>
    <cellStyle name="40% - Énfasis5 37" xfId="3975"/>
    <cellStyle name="40% - Énfasis5 37 2" xfId="3976"/>
    <cellStyle name="40% - Énfasis5 38" xfId="3977"/>
    <cellStyle name="40% - Énfasis5 38 2" xfId="3978"/>
    <cellStyle name="40% - Énfasis5 39" xfId="3979"/>
    <cellStyle name="40% - Énfasis5 39 2" xfId="3980"/>
    <cellStyle name="40% - Énfasis5 4" xfId="3981"/>
    <cellStyle name="40% - Énfasis5 4 2" xfId="3982"/>
    <cellStyle name="40% - Énfasis5 40" xfId="3983"/>
    <cellStyle name="40% - Énfasis5 40 2" xfId="3984"/>
    <cellStyle name="40% - Énfasis5 41" xfId="3985"/>
    <cellStyle name="40% - Énfasis5 41 2" xfId="3986"/>
    <cellStyle name="40% - Énfasis5 42" xfId="3987"/>
    <cellStyle name="40% - Énfasis5 5" xfId="3988"/>
    <cellStyle name="40% - Énfasis5 5 2" xfId="3989"/>
    <cellStyle name="40% - Énfasis5 6" xfId="3990"/>
    <cellStyle name="40% - Énfasis5 6 2" xfId="3991"/>
    <cellStyle name="40% - Énfasis5 7" xfId="3992"/>
    <cellStyle name="40% - Énfasis5 7 2" xfId="3993"/>
    <cellStyle name="40% - Énfasis5 8" xfId="3994"/>
    <cellStyle name="40% - Énfasis5 8 2" xfId="3995"/>
    <cellStyle name="40% - Énfasis5 9" xfId="3996"/>
    <cellStyle name="40% - Énfasis5 9 2" xfId="3997"/>
    <cellStyle name="40% - Énfasis5_Bases Formato 1" xfId="3998"/>
    <cellStyle name="40% - Énfasis6 10" xfId="3999"/>
    <cellStyle name="40% - Énfasis6 10 2" xfId="4000"/>
    <cellStyle name="40% - Énfasis6 11" xfId="4001"/>
    <cellStyle name="40% - Énfasis6 11 2" xfId="4002"/>
    <cellStyle name="40% - Énfasis6 12" xfId="4003"/>
    <cellStyle name="40% - Énfasis6 12 2" xfId="4004"/>
    <cellStyle name="40% - Énfasis6 13" xfId="4005"/>
    <cellStyle name="40% - Énfasis6 13 2" xfId="4006"/>
    <cellStyle name="40% - Énfasis6 14" xfId="4007"/>
    <cellStyle name="40% - Énfasis6 14 2" xfId="4008"/>
    <cellStyle name="40% - Énfasis6 15" xfId="4009"/>
    <cellStyle name="40% - Énfasis6 15 2" xfId="4010"/>
    <cellStyle name="40% - Énfasis6 16" xfId="4011"/>
    <cellStyle name="40% - Énfasis6 16 2" xfId="4012"/>
    <cellStyle name="40% - Énfasis6 17" xfId="4013"/>
    <cellStyle name="40% - Énfasis6 17 2" xfId="4014"/>
    <cellStyle name="40% - Énfasis6 18" xfId="4015"/>
    <cellStyle name="40% - Énfasis6 18 2" xfId="4016"/>
    <cellStyle name="40% - Énfasis6 19" xfId="4017"/>
    <cellStyle name="40% - Énfasis6 19 2" xfId="4018"/>
    <cellStyle name="40% - Énfasis6 2" xfId="4019"/>
    <cellStyle name="40% - Énfasis6 2 2" xfId="4020"/>
    <cellStyle name="40% - Énfasis6 20" xfId="4021"/>
    <cellStyle name="40% - Énfasis6 20 2" xfId="4022"/>
    <cellStyle name="40% - Énfasis6 21" xfId="4023"/>
    <cellStyle name="40% - Énfasis6 21 2" xfId="4024"/>
    <cellStyle name="40% - Énfasis6 22" xfId="4025"/>
    <cellStyle name="40% - Énfasis6 22 2" xfId="4026"/>
    <cellStyle name="40% - Énfasis6 23" xfId="4027"/>
    <cellStyle name="40% - Énfasis6 23 2" xfId="4028"/>
    <cellStyle name="40% - Énfasis6 24" xfId="4029"/>
    <cellStyle name="40% - Énfasis6 24 2" xfId="4030"/>
    <cellStyle name="40% - Énfasis6 25" xfId="4031"/>
    <cellStyle name="40% - Énfasis6 25 2" xfId="4032"/>
    <cellStyle name="40% - Énfasis6 26" xfId="4033"/>
    <cellStyle name="40% - Énfasis6 26 2" xfId="4034"/>
    <cellStyle name="40% - Énfasis6 27" xfId="4035"/>
    <cellStyle name="40% - Énfasis6 27 2" xfId="4036"/>
    <cellStyle name="40% - Énfasis6 28" xfId="4037"/>
    <cellStyle name="40% - Énfasis6 28 2" xfId="4038"/>
    <cellStyle name="40% - Énfasis6 29" xfId="4039"/>
    <cellStyle name="40% - Énfasis6 29 2" xfId="4040"/>
    <cellStyle name="40% - Énfasis6 3" xfId="4041"/>
    <cellStyle name="40% - Énfasis6 3 2" xfId="4042"/>
    <cellStyle name="40% - Énfasis6 30" xfId="4043"/>
    <cellStyle name="40% - Énfasis6 30 2" xfId="4044"/>
    <cellStyle name="40% - Énfasis6 31" xfId="4045"/>
    <cellStyle name="40% - Énfasis6 31 2" xfId="4046"/>
    <cellStyle name="40% - Énfasis6 32" xfId="4047"/>
    <cellStyle name="40% - Énfasis6 32 2" xfId="4048"/>
    <cellStyle name="40% - Énfasis6 33" xfId="4049"/>
    <cellStyle name="40% - Énfasis6 33 2" xfId="4050"/>
    <cellStyle name="40% - Énfasis6 34" xfId="4051"/>
    <cellStyle name="40% - Énfasis6 34 2" xfId="4052"/>
    <cellStyle name="40% - Énfasis6 35" xfId="4053"/>
    <cellStyle name="40% - Énfasis6 35 2" xfId="4054"/>
    <cellStyle name="40% - Énfasis6 36" xfId="4055"/>
    <cellStyle name="40% - Énfasis6 36 2" xfId="4056"/>
    <cellStyle name="40% - Énfasis6 37" xfId="4057"/>
    <cellStyle name="40% - Énfasis6 37 2" xfId="4058"/>
    <cellStyle name="40% - Énfasis6 38" xfId="4059"/>
    <cellStyle name="40% - Énfasis6 38 2" xfId="4060"/>
    <cellStyle name="40% - Énfasis6 39" xfId="4061"/>
    <cellStyle name="40% - Énfasis6 39 2" xfId="4062"/>
    <cellStyle name="40% - Énfasis6 4" xfId="4063"/>
    <cellStyle name="40% - Énfasis6 4 2" xfId="4064"/>
    <cellStyle name="40% - Énfasis6 40" xfId="4065"/>
    <cellStyle name="40% - Énfasis6 40 2" xfId="4066"/>
    <cellStyle name="40% - Énfasis6 41" xfId="4067"/>
    <cellStyle name="40% - Énfasis6 41 2" xfId="4068"/>
    <cellStyle name="40% - Énfasis6 42" xfId="4069"/>
    <cellStyle name="40% - Énfasis6 5" xfId="4070"/>
    <cellStyle name="40% - Énfasis6 5 2" xfId="4071"/>
    <cellStyle name="40% - Énfasis6 6" xfId="4072"/>
    <cellStyle name="40% - Énfasis6 6 2" xfId="4073"/>
    <cellStyle name="40% - Énfasis6 7" xfId="4074"/>
    <cellStyle name="40% - Énfasis6 7 2" xfId="4075"/>
    <cellStyle name="40% - Énfasis6 8" xfId="4076"/>
    <cellStyle name="40% - Énfasis6 8 2" xfId="4077"/>
    <cellStyle name="40% - Énfasis6 9" xfId="4078"/>
    <cellStyle name="40% - Énfasis6 9 2" xfId="4079"/>
    <cellStyle name="40% - Énfasis6_Bases Formato 1" xfId="4080"/>
    <cellStyle name="40% - 强调文字颜色 1 2" xfId="4081"/>
    <cellStyle name="40% - 强调文字颜色 1 3" xfId="4082"/>
    <cellStyle name="40% - 强调文字颜色 2 2" xfId="4083"/>
    <cellStyle name="40% - 强调文字颜色 2 3" xfId="4084"/>
    <cellStyle name="40% - 强调文字颜色 3 2" xfId="4085"/>
    <cellStyle name="40% - 强调文字颜色 3 3" xfId="4086"/>
    <cellStyle name="40% - 强调文字颜色 4 2" xfId="4087"/>
    <cellStyle name="40% - 强调文字颜色 4 3" xfId="4088"/>
    <cellStyle name="40% - 强调文字颜色 5 2" xfId="4089"/>
    <cellStyle name="40% - 强调文字颜色 5 3" xfId="4090"/>
    <cellStyle name="40% - 强调文字颜色 6 2" xfId="4091"/>
    <cellStyle name="40% - 强调文字颜色 6 3" xfId="4092"/>
    <cellStyle name="60 % - Accent1" xfId="4093"/>
    <cellStyle name="60 % - Accent2" xfId="4094"/>
    <cellStyle name="60 % - Accent3" xfId="4095"/>
    <cellStyle name="60 % - Accent4" xfId="4096"/>
    <cellStyle name="60 % - Accent5" xfId="4097"/>
    <cellStyle name="60 % - Accent6" xfId="4098"/>
    <cellStyle name="60% - Accent1" xfId="250" builtinId="32" customBuiltin="1"/>
    <cellStyle name="60% - Accent1 2" xfId="1869"/>
    <cellStyle name="60% - Accent1 2 2" xfId="1870"/>
    <cellStyle name="60% - Accent2" xfId="251" builtinId="36" customBuiltin="1"/>
    <cellStyle name="60% - Accent2 2" xfId="1871"/>
    <cellStyle name="60% - Accent2 2 2" xfId="1872"/>
    <cellStyle name="60% - Accent3" xfId="252" builtinId="40" customBuiltin="1"/>
    <cellStyle name="60% - Accent3 2" xfId="1873"/>
    <cellStyle name="60% - Accent3 2 2" xfId="1874"/>
    <cellStyle name="60% - Accent4" xfId="253" builtinId="44" customBuiltin="1"/>
    <cellStyle name="60% - Accent4 2" xfId="1875"/>
    <cellStyle name="60% - Accent4 2 2" xfId="1876"/>
    <cellStyle name="60% - Accent5" xfId="254" builtinId="48" customBuiltin="1"/>
    <cellStyle name="60% - Accent5 2" xfId="1877"/>
    <cellStyle name="60% - Accent5 2 2" xfId="1878"/>
    <cellStyle name="60% - Accent6" xfId="255" builtinId="52" customBuiltin="1"/>
    <cellStyle name="60% - Accent6 2" xfId="1879"/>
    <cellStyle name="60% - Accent6 2 2" xfId="1880"/>
    <cellStyle name="60% - Ênfase1" xfId="4099"/>
    <cellStyle name="60% - Ênfase2" xfId="4100"/>
    <cellStyle name="60% - Ênfase3" xfId="4101"/>
    <cellStyle name="60% - Ênfase4" xfId="4102"/>
    <cellStyle name="60% - Ênfase5" xfId="4103"/>
    <cellStyle name="60% - Ênfase6" xfId="4104"/>
    <cellStyle name="60% - Énfasis1 2" xfId="4105"/>
    <cellStyle name="60% - Énfasis1 2 2" xfId="4106"/>
    <cellStyle name="60% - Énfasis1_INFORME COMERCIAL" xfId="4107"/>
    <cellStyle name="60% - Énfasis2 2" xfId="4108"/>
    <cellStyle name="60% - Énfasis2 2 2" xfId="4109"/>
    <cellStyle name="60% - Énfasis3 2" xfId="4110"/>
    <cellStyle name="60% - Énfasis3 2 2" xfId="4111"/>
    <cellStyle name="60% - Énfasis3_INFORME COMERCIAL" xfId="4112"/>
    <cellStyle name="60% - Énfasis4 2" xfId="4113"/>
    <cellStyle name="60% - Énfasis4 2 2" xfId="4114"/>
    <cellStyle name="60% - Énfasis4_INFORME COMERCIAL" xfId="4115"/>
    <cellStyle name="60% - Énfasis5 2" xfId="4116"/>
    <cellStyle name="60% - Énfasis5 2 2" xfId="4117"/>
    <cellStyle name="60% - Énfasis6 2" xfId="4118"/>
    <cellStyle name="60% - Énfasis6 2 2" xfId="4119"/>
    <cellStyle name="60% - Énfasis6_INFORME COMERCIAL" xfId="4120"/>
    <cellStyle name="60% - 强调文字颜色 1 2" xfId="4121"/>
    <cellStyle name="60% - 强调文字颜色 1 3" xfId="4122"/>
    <cellStyle name="60% - 强调文字颜色 2 2" xfId="4123"/>
    <cellStyle name="60% - 强调文字颜色 2 3" xfId="4124"/>
    <cellStyle name="60% - 强调文字颜色 3 2" xfId="4125"/>
    <cellStyle name="60% - 强调文字颜色 3 3" xfId="4126"/>
    <cellStyle name="60% - 强调文字颜色 4 2" xfId="4127"/>
    <cellStyle name="60% - 强调文字颜色 4 3" xfId="4128"/>
    <cellStyle name="60% - 强调文字颜色 5 2" xfId="4129"/>
    <cellStyle name="60% - 强调文字颜色 5 3" xfId="4130"/>
    <cellStyle name="60% - 强调文字颜色 6 2" xfId="4131"/>
    <cellStyle name="60% - 强调文字颜色 6 3" xfId="4132"/>
    <cellStyle name="7_매출" xfId="256"/>
    <cellStyle name="Accent1" xfId="257" builtinId="29" customBuiltin="1"/>
    <cellStyle name="Accent1 2" xfId="1881"/>
    <cellStyle name="Accent1 2 2" xfId="1882"/>
    <cellStyle name="Accent2" xfId="258" builtinId="33" customBuiltin="1"/>
    <cellStyle name="Accent2 2" xfId="1883"/>
    <cellStyle name="Accent2 2 2" xfId="1884"/>
    <cellStyle name="Accent3" xfId="259" builtinId="37" customBuiltin="1"/>
    <cellStyle name="Accent3 2" xfId="1885"/>
    <cellStyle name="Accent3 2 2" xfId="1886"/>
    <cellStyle name="Accent4" xfId="260" builtinId="41" customBuiltin="1"/>
    <cellStyle name="Accent4 2" xfId="1887"/>
    <cellStyle name="Accent4 2 2" xfId="1888"/>
    <cellStyle name="Accent5" xfId="261" builtinId="45" customBuiltin="1"/>
    <cellStyle name="Accent5 2" xfId="1889"/>
    <cellStyle name="Accent5 2 2" xfId="1890"/>
    <cellStyle name="Accent6" xfId="262" builtinId="49" customBuiltin="1"/>
    <cellStyle name="Accent6 2" xfId="1891"/>
    <cellStyle name="Accent6 2 2" xfId="1892"/>
    <cellStyle name="Acct No" xfId="4133"/>
    <cellStyle name="Acct No (.0000)" xfId="4134"/>
    <cellStyle name="Across" xfId="1893"/>
    <cellStyle name="active" xfId="263"/>
    <cellStyle name="Actual Date" xfId="4135"/>
    <cellStyle name="Actual Date 2" xfId="4136"/>
    <cellStyle name="Actual Date 3" xfId="4137"/>
    <cellStyle name="Actual Date 4" xfId="4138"/>
    <cellStyle name="Actual Date 5" xfId="4139"/>
    <cellStyle name="Actual Date_Annexe Données Financières V2" xfId="4140"/>
    <cellStyle name="Advertencia" xfId="4141"/>
    <cellStyle name="AeE­ [0]_¿￢±¸°³¹ßAoAU2" xfId="264"/>
    <cellStyle name="ÅëÈ­ [0]_±âÅ¸" xfId="1894"/>
    <cellStyle name="AeE­ [0]_Book2" xfId="265"/>
    <cellStyle name="AeE­_¿￢±¸°³¹ßAoAU2" xfId="266"/>
    <cellStyle name="ÅëÈ­_±âÅ¸" xfId="1895"/>
    <cellStyle name="AeE­_Book2" xfId="267"/>
    <cellStyle name="AFE" xfId="268"/>
    <cellStyle name="ALIGNMENT" xfId="269"/>
    <cellStyle name="Amilcar" xfId="1896"/>
    <cellStyle name="amount" xfId="270"/>
    <cellStyle name="ANCLAS,REZONES Y SUS PARTES,DE FUNDICION,DE HIERRO O DE ACERO" xfId="4142"/>
    <cellStyle name="Ann'l_Incr" xfId="271"/>
    <cellStyle name="args.style" xfId="272"/>
    <cellStyle name="Assumption" xfId="273"/>
    <cellStyle name="AÞ¸¶ [0]_¸AAa_PERSONAL" xfId="274"/>
    <cellStyle name="ÄÞ¸¶ [0]_±âÅ¸" xfId="1897"/>
    <cellStyle name="AÞ¸¶ [0]_Book2" xfId="275"/>
    <cellStyle name="AÞ¸¶_¿¹≫eA¶A¤¿a±¸¼­" xfId="276"/>
    <cellStyle name="ÄÞ¸¶_±âÅ¸" xfId="1898"/>
    <cellStyle name="AÞ¸¶_Book2" xfId="277"/>
    <cellStyle name="Avertissement" xfId="4143"/>
    <cellStyle name="_x0001_b" xfId="278"/>
    <cellStyle name="Bad" xfId="279" builtinId="27" customBuiltin="1"/>
    <cellStyle name="Bad 2" xfId="1899"/>
    <cellStyle name="Bad 2 2" xfId="1900"/>
    <cellStyle name="Black" xfId="280"/>
    <cellStyle name="Black Days" xfId="281"/>
    <cellStyle name="Black Decimal" xfId="282"/>
    <cellStyle name="Black Dollar" xfId="283"/>
    <cellStyle name="Black EPS" xfId="284"/>
    <cellStyle name="Black Percent" xfId="285"/>
    <cellStyle name="Black Percent2" xfId="286"/>
    <cellStyle name="Black Times" xfId="287"/>
    <cellStyle name="Black Times Two Deci" xfId="288"/>
    <cellStyle name="Black Times Two Deci2" xfId="289"/>
    <cellStyle name="Black Times_INPUT" xfId="290"/>
    <cellStyle name="Black Times2" xfId="291"/>
    <cellStyle name="blank" xfId="1901"/>
    <cellStyle name="Blue" xfId="292"/>
    <cellStyle name="Blue Decimal" xfId="293"/>
    <cellStyle name="Blue Dollar" xfId="294"/>
    <cellStyle name="Blue EPS" xfId="295"/>
    <cellStyle name="blue shading" xfId="296"/>
    <cellStyle name="Blue Text" xfId="297"/>
    <cellStyle name="Blue Title" xfId="298"/>
    <cellStyle name="Blue Zero Deci" xfId="299"/>
    <cellStyle name="Blue_Heading" xfId="300"/>
    <cellStyle name="Body" xfId="1902"/>
    <cellStyle name="Body text" xfId="301"/>
    <cellStyle name="body text2" xfId="1903"/>
    <cellStyle name="Body_$Numeric" xfId="302"/>
    <cellStyle name="bold" xfId="303"/>
    <cellStyle name="Bold/Border" xfId="304"/>
    <cellStyle name="bold_CapitalIQ - 7.17.06 v4" xfId="305"/>
    <cellStyle name="Border" xfId="306"/>
    <cellStyle name="Border, Bottom" xfId="1904"/>
    <cellStyle name="Border, Left" xfId="1905"/>
    <cellStyle name="Border, Right" xfId="1906"/>
    <cellStyle name="Border, Top" xfId="1907"/>
    <cellStyle name="Bottom" xfId="1908"/>
    <cellStyle name="Bottom bold border" xfId="307"/>
    <cellStyle name="Bottom single border" xfId="308"/>
    <cellStyle name="BrödText" xfId="309"/>
    <cellStyle name="Bullet" xfId="310"/>
    <cellStyle name="C￥AØ_  FAB AIA¤  " xfId="311"/>
    <cellStyle name="Ç¥ÁØ_¿ù°£¿ä¾àº¸°í" xfId="1909"/>
    <cellStyle name="C￥AØ_Ao¹e±¸A¶" xfId="312"/>
    <cellStyle name="Calc Currency (0)" xfId="313"/>
    <cellStyle name="Calc Currency (2)" xfId="314"/>
    <cellStyle name="Calc Percent (0)" xfId="315"/>
    <cellStyle name="Calc Percent (1)" xfId="316"/>
    <cellStyle name="Calc Percent (2)" xfId="317"/>
    <cellStyle name="Calc Units (0)" xfId="318"/>
    <cellStyle name="Calc Units (1)" xfId="319"/>
    <cellStyle name="Calc Units (2)" xfId="320"/>
    <cellStyle name="Calculation" xfId="321" builtinId="22" customBuiltin="1"/>
    <cellStyle name="Calculation 2" xfId="1910"/>
    <cellStyle name="Calculation 2 2" xfId="1911"/>
    <cellStyle name="CapAdv_Box" xfId="322"/>
    <cellStyle name="Case" xfId="323"/>
    <cellStyle name="Cash Flow Statement" xfId="324"/>
    <cellStyle name="category" xfId="325"/>
    <cellStyle name="Category Name" xfId="326"/>
    <cellStyle name="Center" xfId="1912"/>
    <cellStyle name="Centered" xfId="1913"/>
    <cellStyle name="Centered Heading" xfId="327"/>
    <cellStyle name="ChartingText" xfId="328"/>
    <cellStyle name="Check Cell" xfId="329" builtinId="23" customBuiltin="1"/>
    <cellStyle name="Check Cell 2" xfId="1914"/>
    <cellStyle name="Check Cell 2 2" xfId="1915"/>
    <cellStyle name="Co. Names" xfId="1916"/>
    <cellStyle name="Co. Names - Bold" xfId="1917"/>
    <cellStyle name="Co. Names_Sales" xfId="1918"/>
    <cellStyle name="Code" xfId="330"/>
    <cellStyle name="Col. Headers" xfId="1919"/>
    <cellStyle name="ColHead" xfId="331"/>
    <cellStyle name="ColHead 2" xfId="332"/>
    <cellStyle name="ColHead 2 2" xfId="333"/>
    <cellStyle name="ColHead 2_2009 Plan Projected Financials One Method" xfId="334"/>
    <cellStyle name="ColHead 3" xfId="335"/>
    <cellStyle name="ColHead 4" xfId="336"/>
    <cellStyle name="ColHead 5" xfId="337"/>
    <cellStyle name="ColHead 6" xfId="338"/>
    <cellStyle name="ColHead_2009 Plan Projected Financials One Method" xfId="339"/>
    <cellStyle name="Color" xfId="340"/>
    <cellStyle name="Column Header" xfId="1920"/>
    <cellStyle name="Column totals" xfId="1921"/>
    <cellStyle name="Column_Title" xfId="341"/>
    <cellStyle name="ColumnHeaderNormal" xfId="342"/>
    <cellStyle name="ColumnHeaderNormal 2" xfId="1154"/>
    <cellStyle name="ColumnHeaderNormal 3" xfId="2582"/>
    <cellStyle name="ColumnHeaderNormal 4" xfId="2611"/>
    <cellStyle name="Comma" xfId="343" builtinId="3"/>
    <cellStyle name="Comma  - Style1" xfId="1922"/>
    <cellStyle name="Comma  - Style2" xfId="1923"/>
    <cellStyle name="Comma  - Style3" xfId="1924"/>
    <cellStyle name="Comma  - Style4" xfId="1925"/>
    <cellStyle name="Comma  - Style5" xfId="1926"/>
    <cellStyle name="Comma  - Style6" xfId="1927"/>
    <cellStyle name="Comma  - Style7" xfId="1928"/>
    <cellStyle name="Comma  - Style8" xfId="1929"/>
    <cellStyle name="Comma [0] 2" xfId="1930"/>
    <cellStyle name="Comma [0] 2 2" xfId="1931"/>
    <cellStyle name="Comma [0] 3" xfId="1932"/>
    <cellStyle name="Comma [0] 4" xfId="1933"/>
    <cellStyle name="Comma [00]" xfId="344"/>
    <cellStyle name="Comma [1]" xfId="345"/>
    <cellStyle name="Comma 0" xfId="346"/>
    <cellStyle name="Comma 0*" xfId="347"/>
    <cellStyle name="Comma 10" xfId="348"/>
    <cellStyle name="Comma 11" xfId="349"/>
    <cellStyle name="Comma 11 2" xfId="350"/>
    <cellStyle name="Comma 11 2 2" xfId="1158"/>
    <cellStyle name="Comma 11 2 3" xfId="1159"/>
    <cellStyle name="Comma 11 2 4" xfId="1160"/>
    <cellStyle name="Comma 11 2 5" xfId="1161"/>
    <cellStyle name="Comma 11 2 6" xfId="1162"/>
    <cellStyle name="Comma 11 3" xfId="1163"/>
    <cellStyle name="Comma 11 4" xfId="1164"/>
    <cellStyle name="Comma 11 5" xfId="1165"/>
    <cellStyle name="Comma 11 6" xfId="1166"/>
    <cellStyle name="Comma 11 7" xfId="1167"/>
    <cellStyle name="Comma 12" xfId="351"/>
    <cellStyle name="Comma 12 2" xfId="352"/>
    <cellStyle name="Comma 12 2 2" xfId="1168"/>
    <cellStyle name="Comma 12 2 3" xfId="1169"/>
    <cellStyle name="Comma 12 2 4" xfId="1170"/>
    <cellStyle name="Comma 12 2 5" xfId="1171"/>
    <cellStyle name="Comma 12 2 6" xfId="1172"/>
    <cellStyle name="Comma 12 3" xfId="1173"/>
    <cellStyle name="Comma 12 4" xfId="1174"/>
    <cellStyle name="Comma 12 5" xfId="1175"/>
    <cellStyle name="Comma 12 6" xfId="1176"/>
    <cellStyle name="Comma 12 7" xfId="1177"/>
    <cellStyle name="Comma 12 8" xfId="4174"/>
    <cellStyle name="Comma 13" xfId="1178"/>
    <cellStyle name="Comma 13 2" xfId="4211"/>
    <cellStyle name="Comma 14" xfId="1179"/>
    <cellStyle name="Comma 15" xfId="1180"/>
    <cellStyle name="Comma 16" xfId="1181"/>
    <cellStyle name="Comma 17" xfId="1182"/>
    <cellStyle name="Comma 18" xfId="1521"/>
    <cellStyle name="Comma 19" xfId="1563"/>
    <cellStyle name="Comma 2" xfId="353"/>
    <cellStyle name="Comma 2 10" xfId="1934"/>
    <cellStyle name="Comma 2 11" xfId="1935"/>
    <cellStyle name="Comma 2 12" xfId="1936"/>
    <cellStyle name="Comma 2 13" xfId="1937"/>
    <cellStyle name="Comma 2 14" xfId="1938"/>
    <cellStyle name="Comma 2 15" xfId="1939"/>
    <cellStyle name="Comma 2 16" xfId="1940"/>
    <cellStyle name="Comma 2 17" xfId="1941"/>
    <cellStyle name="Comma 2 18" xfId="1942"/>
    <cellStyle name="Comma 2 19" xfId="1943"/>
    <cellStyle name="Comma 2 2" xfId="354"/>
    <cellStyle name="Comma 2 2 2" xfId="355"/>
    <cellStyle name="Comma 2 2 2 2" xfId="1183"/>
    <cellStyle name="Comma 2 2 3" xfId="356"/>
    <cellStyle name="Comma 2 2 4" xfId="357"/>
    <cellStyle name="Comma 2 2 5" xfId="358"/>
    <cellStyle name="Comma 2 2 6" xfId="359"/>
    <cellStyle name="Comma 2 2 6 2" xfId="1184"/>
    <cellStyle name="Comma 2 2 6 3" xfId="1185"/>
    <cellStyle name="Comma 2 2 6 4" xfId="1186"/>
    <cellStyle name="Comma 2 2 6 5" xfId="1187"/>
    <cellStyle name="Comma 2 2 6 6" xfId="1188"/>
    <cellStyle name="Comma 2 2 7" xfId="1189"/>
    <cellStyle name="Comma 2 2 8" xfId="1190"/>
    <cellStyle name="Comma 2 2 9" xfId="4218"/>
    <cellStyle name="Comma 2 20" xfId="1944"/>
    <cellStyle name="Comma 2 21" xfId="1945"/>
    <cellStyle name="Comma 2 22" xfId="1946"/>
    <cellStyle name="Comma 2 23" xfId="1947"/>
    <cellStyle name="Comma 2 24" xfId="1948"/>
    <cellStyle name="Comma 2 25" xfId="1949"/>
    <cellStyle name="Comma 2 26" xfId="1950"/>
    <cellStyle name="Comma 2 27" xfId="1951"/>
    <cellStyle name="Comma 2 28" xfId="1952"/>
    <cellStyle name="Comma 2 29" xfId="1953"/>
    <cellStyle name="Comma 2 3" xfId="360"/>
    <cellStyle name="Comma 2 3 2" xfId="361"/>
    <cellStyle name="Comma 2 30" xfId="1954"/>
    <cellStyle name="Comma 2 31" xfId="1955"/>
    <cellStyle name="Comma 2 32" xfId="1956"/>
    <cellStyle name="Comma 2 33" xfId="1957"/>
    <cellStyle name="Comma 2 34" xfId="1958"/>
    <cellStyle name="Comma 2 35" xfId="1959"/>
    <cellStyle name="Comma 2 36" xfId="1960"/>
    <cellStyle name="Comma 2 37" xfId="1961"/>
    <cellStyle name="Comma 2 38" xfId="1962"/>
    <cellStyle name="Comma 2 39" xfId="1963"/>
    <cellStyle name="Comma 2 4" xfId="1523"/>
    <cellStyle name="Comma 2 40" xfId="1964"/>
    <cellStyle name="Comma 2 41" xfId="1965"/>
    <cellStyle name="Comma 2 42" xfId="1966"/>
    <cellStyle name="Comma 2 43" xfId="1967"/>
    <cellStyle name="Comma 2 44" xfId="1968"/>
    <cellStyle name="Comma 2 45" xfId="1969"/>
    <cellStyle name="Comma 2 46" xfId="1970"/>
    <cellStyle name="Comma 2 47" xfId="1971"/>
    <cellStyle name="Comma 2 48" xfId="1972"/>
    <cellStyle name="Comma 2 49" xfId="1973"/>
    <cellStyle name="Comma 2 5" xfId="1974"/>
    <cellStyle name="Comma 2 50" xfId="1975"/>
    <cellStyle name="Comma 2 51" xfId="1976"/>
    <cellStyle name="Comma 2 52" xfId="1977"/>
    <cellStyle name="Comma 2 53" xfId="1978"/>
    <cellStyle name="Comma 2 54" xfId="1979"/>
    <cellStyle name="Comma 2 55" xfId="1980"/>
    <cellStyle name="Comma 2 56" xfId="1981"/>
    <cellStyle name="Comma 2 57" xfId="1982"/>
    <cellStyle name="Comma 2 58" xfId="1983"/>
    <cellStyle name="Comma 2 59" xfId="1984"/>
    <cellStyle name="Comma 2 6" xfId="1985"/>
    <cellStyle name="Comma 2 60" xfId="1986"/>
    <cellStyle name="Comma 2 61" xfId="1987"/>
    <cellStyle name="Comma 2 62" xfId="1988"/>
    <cellStyle name="Comma 2 63" xfId="1989"/>
    <cellStyle name="Comma 2 64" xfId="4216"/>
    <cellStyle name="Comma 2 7" xfId="1990"/>
    <cellStyle name="Comma 2 8" xfId="1991"/>
    <cellStyle name="Comma 2 9" xfId="1992"/>
    <cellStyle name="Comma 2_2009 Plan Projected Financials One Method" xfId="362"/>
    <cellStyle name="Comma 20" xfId="1993"/>
    <cellStyle name="Comma 21" xfId="1994"/>
    <cellStyle name="Comma 22" xfId="1995"/>
    <cellStyle name="Comma 23" xfId="1996"/>
    <cellStyle name="Comma 24" xfId="1997"/>
    <cellStyle name="Comma 25" xfId="1998"/>
    <cellStyle name="Comma 26" xfId="1999"/>
    <cellStyle name="Comma 27" xfId="2000"/>
    <cellStyle name="Comma 28" xfId="2563"/>
    <cellStyle name="Comma 29" xfId="2593"/>
    <cellStyle name="Comma 3" xfId="363"/>
    <cellStyle name="Comma 3 10" xfId="2001"/>
    <cellStyle name="Comma 3 11" xfId="2002"/>
    <cellStyle name="Comma 3 12" xfId="2003"/>
    <cellStyle name="Comma 3 13" xfId="2004"/>
    <cellStyle name="Comma 3 14" xfId="2005"/>
    <cellStyle name="Comma 3 15" xfId="2006"/>
    <cellStyle name="Comma 3 16" xfId="2007"/>
    <cellStyle name="Comma 3 17" xfId="2008"/>
    <cellStyle name="Comma 3 18" xfId="2009"/>
    <cellStyle name="Comma 3 19" xfId="2010"/>
    <cellStyle name="Comma 3 2" xfId="364"/>
    <cellStyle name="Comma 3 20" xfId="2011"/>
    <cellStyle name="Comma 3 21" xfId="2012"/>
    <cellStyle name="Comma 3 22" xfId="2013"/>
    <cellStyle name="Comma 3 23" xfId="2014"/>
    <cellStyle name="Comma 3 24" xfId="2015"/>
    <cellStyle name="Comma 3 25" xfId="2016"/>
    <cellStyle name="Comma 3 26" xfId="2017"/>
    <cellStyle name="Comma 3 27" xfId="2018"/>
    <cellStyle name="Comma 3 28" xfId="2019"/>
    <cellStyle name="Comma 3 29" xfId="2020"/>
    <cellStyle name="Comma 3 3" xfId="365"/>
    <cellStyle name="Comma 3 30" xfId="2021"/>
    <cellStyle name="Comma 3 31" xfId="2022"/>
    <cellStyle name="Comma 3 32" xfId="2023"/>
    <cellStyle name="Comma 3 33" xfId="2024"/>
    <cellStyle name="Comma 3 34" xfId="2025"/>
    <cellStyle name="Comma 3 35" xfId="2026"/>
    <cellStyle name="Comma 3 36" xfId="2027"/>
    <cellStyle name="Comma 3 37" xfId="2028"/>
    <cellStyle name="Comma 3 38" xfId="2029"/>
    <cellStyle name="Comma 3 39" xfId="2030"/>
    <cellStyle name="Comma 3 4" xfId="1191"/>
    <cellStyle name="Comma 3 40" xfId="2031"/>
    <cellStyle name="Comma 3 41" xfId="2032"/>
    <cellStyle name="Comma 3 42" xfId="2033"/>
    <cellStyle name="Comma 3 43" xfId="2034"/>
    <cellStyle name="Comma 3 44" xfId="2035"/>
    <cellStyle name="Comma 3 45" xfId="2036"/>
    <cellStyle name="Comma 3 46" xfId="2037"/>
    <cellStyle name="Comma 3 47" xfId="2038"/>
    <cellStyle name="Comma 3 48" xfId="2039"/>
    <cellStyle name="Comma 3 49" xfId="2040"/>
    <cellStyle name="Comma 3 5" xfId="1192"/>
    <cellStyle name="Comma 3 50" xfId="2041"/>
    <cellStyle name="Comma 3 51" xfId="2042"/>
    <cellStyle name="Comma 3 52" xfId="2043"/>
    <cellStyle name="Comma 3 53" xfId="2044"/>
    <cellStyle name="Comma 3 54" xfId="2045"/>
    <cellStyle name="Comma 3 55" xfId="2046"/>
    <cellStyle name="Comma 3 56" xfId="2047"/>
    <cellStyle name="Comma 3 57" xfId="2048"/>
    <cellStyle name="Comma 3 58" xfId="4150"/>
    <cellStyle name="Comma 3 6" xfId="1193"/>
    <cellStyle name="Comma 3 7" xfId="1194"/>
    <cellStyle name="Comma 3 8" xfId="1195"/>
    <cellStyle name="Comma 3 9" xfId="2049"/>
    <cellStyle name="Comma 3*" xfId="366"/>
    <cellStyle name="Comma 30" xfId="2050"/>
    <cellStyle name="Comma 31" xfId="2614"/>
    <cellStyle name="Comma 32" xfId="2624"/>
    <cellStyle name="Comma 33" xfId="2051"/>
    <cellStyle name="Comma 34" xfId="2626"/>
    <cellStyle name="Comma 35" xfId="4157"/>
    <cellStyle name="Comma 36" xfId="2052"/>
    <cellStyle name="Comma 37" xfId="4160"/>
    <cellStyle name="Comma 4" xfId="367"/>
    <cellStyle name="Comma 4 10" xfId="2053"/>
    <cellStyle name="Comma 4 11" xfId="2054"/>
    <cellStyle name="Comma 4 12" xfId="2055"/>
    <cellStyle name="Comma 4 13" xfId="2056"/>
    <cellStyle name="Comma 4 14" xfId="2057"/>
    <cellStyle name="Comma 4 15" xfId="2058"/>
    <cellStyle name="Comma 4 16" xfId="2059"/>
    <cellStyle name="Comma 4 17" xfId="2060"/>
    <cellStyle name="Comma 4 18" xfId="2061"/>
    <cellStyle name="Comma 4 19" xfId="2062"/>
    <cellStyle name="Comma 4 2" xfId="368"/>
    <cellStyle name="Comma 4 20" xfId="2063"/>
    <cellStyle name="Comma 4 21" xfId="2064"/>
    <cellStyle name="Comma 4 22" xfId="2065"/>
    <cellStyle name="Comma 4 23" xfId="2066"/>
    <cellStyle name="Comma 4 24" xfId="2067"/>
    <cellStyle name="Comma 4 25" xfId="2068"/>
    <cellStyle name="Comma 4 26" xfId="2069"/>
    <cellStyle name="Comma 4 27" xfId="2619"/>
    <cellStyle name="Comma 4 28" xfId="4169"/>
    <cellStyle name="Comma 4 3" xfId="2070"/>
    <cellStyle name="Comma 4 4" xfId="2071"/>
    <cellStyle name="Comma 4 5" xfId="2072"/>
    <cellStyle name="Comma 4 6" xfId="2073"/>
    <cellStyle name="Comma 4 7" xfId="2074"/>
    <cellStyle name="Comma 4 8" xfId="2075"/>
    <cellStyle name="Comma 4 9" xfId="2076"/>
    <cellStyle name="Comma 40" xfId="2077"/>
    <cellStyle name="Comma 41" xfId="2078"/>
    <cellStyle name="Comma 42" xfId="2079"/>
    <cellStyle name="Comma 43" xfId="2080"/>
    <cellStyle name="Comma 44" xfId="2081"/>
    <cellStyle name="Comma 45" xfId="2082"/>
    <cellStyle name="Comma 46" xfId="2083"/>
    <cellStyle name="Comma 47" xfId="2084"/>
    <cellStyle name="Comma 48" xfId="2085"/>
    <cellStyle name="Comma 49" xfId="2086"/>
    <cellStyle name="Comma 5" xfId="369"/>
    <cellStyle name="Comma 5 2" xfId="370"/>
    <cellStyle name="Comma 5 2 2" xfId="371"/>
    <cellStyle name="Comma 5 2 2 2" xfId="1196"/>
    <cellStyle name="Comma 5 2 2 3" xfId="1197"/>
    <cellStyle name="Comma 5 2 2 4" xfId="1198"/>
    <cellStyle name="Comma 5 2 2 5" xfId="1199"/>
    <cellStyle name="Comma 5 2 2 6" xfId="1200"/>
    <cellStyle name="Comma 5 2 3" xfId="1201"/>
    <cellStyle name="Comma 5 2 4" xfId="1202"/>
    <cellStyle name="Comma 5 2 5" xfId="1203"/>
    <cellStyle name="Comma 5 2 6" xfId="1204"/>
    <cellStyle name="Comma 5 2 7" xfId="1205"/>
    <cellStyle name="Comma 5 3" xfId="372"/>
    <cellStyle name="Comma 5 4" xfId="373"/>
    <cellStyle name="Comma 5 4 2" xfId="1206"/>
    <cellStyle name="Comma 5 4 3" xfId="1207"/>
    <cellStyle name="Comma 5 4 4" xfId="1208"/>
    <cellStyle name="Comma 5 4 5" xfId="1209"/>
    <cellStyle name="Comma 5 4 6" xfId="1210"/>
    <cellStyle name="Comma 5 5" xfId="4145"/>
    <cellStyle name="Comma 5 6" xfId="4171"/>
    <cellStyle name="Comma 50" xfId="2087"/>
    <cellStyle name="Comma 51" xfId="2088"/>
    <cellStyle name="Comma 52" xfId="2089"/>
    <cellStyle name="Comma 53" xfId="2090"/>
    <cellStyle name="Comma 54" xfId="2091"/>
    <cellStyle name="Comma 55" xfId="2092"/>
    <cellStyle name="Comma 56" xfId="2093"/>
    <cellStyle name="Comma 57" xfId="2094"/>
    <cellStyle name="Comma 58" xfId="2095"/>
    <cellStyle name="Comma 6" xfId="374"/>
    <cellStyle name="Comma 6 2" xfId="375"/>
    <cellStyle name="Comma 6 2 2" xfId="1211"/>
    <cellStyle name="Comma 6 2 2 2" xfId="2096"/>
    <cellStyle name="Comma 6 2 2 3" xfId="2097"/>
    <cellStyle name="Comma 6 2 3" xfId="1212"/>
    <cellStyle name="Comma 6 2 4" xfId="1213"/>
    <cellStyle name="Comma 6 2 5" xfId="1214"/>
    <cellStyle name="Comma 6 2 6" xfId="1215"/>
    <cellStyle name="Comma 6 3" xfId="1216"/>
    <cellStyle name="Comma 6 4" xfId="1217"/>
    <cellStyle name="Comma 6 5" xfId="1218"/>
    <cellStyle name="Comma 6 6" xfId="1219"/>
    <cellStyle name="Comma 6 7" xfId="1220"/>
    <cellStyle name="Comma 7" xfId="376"/>
    <cellStyle name="Comma 7 2" xfId="377"/>
    <cellStyle name="Comma 7 2 2" xfId="1221"/>
    <cellStyle name="Comma 7 2 3" xfId="1222"/>
    <cellStyle name="Comma 7 2 4" xfId="1223"/>
    <cellStyle name="Comma 7 2 5" xfId="1224"/>
    <cellStyle name="Comma 7 2 6" xfId="1225"/>
    <cellStyle name="Comma 7 3" xfId="1226"/>
    <cellStyle name="Comma 7 4" xfId="1227"/>
    <cellStyle name="Comma 7 5" xfId="1228"/>
    <cellStyle name="Comma 7 6" xfId="1229"/>
    <cellStyle name="Comma 7 7" xfId="1230"/>
    <cellStyle name="Comma 8" xfId="378"/>
    <cellStyle name="Comma 8 2" xfId="2098"/>
    <cellStyle name="Comma 8 3" xfId="2099"/>
    <cellStyle name="Comma 8 4" xfId="4181"/>
    <cellStyle name="Comma 9" xfId="379"/>
    <cellStyle name="Comma Input" xfId="380"/>
    <cellStyle name="comma zerodec" xfId="381"/>
    <cellStyle name="Comma0" xfId="382"/>
    <cellStyle name="Comma0 - Style1" xfId="2100"/>
    <cellStyle name="Comma0 - Style2" xfId="2101"/>
    <cellStyle name="Comma0 - Style3" xfId="2102"/>
    <cellStyle name="Comma0 - Style4" xfId="2103"/>
    <cellStyle name="Comma0 - Style5" xfId="2104"/>
    <cellStyle name="Comma0 - Style6" xfId="2105"/>
    <cellStyle name="Comma0 - Style7" xfId="2106"/>
    <cellStyle name="Comma0_IN-S Asia 2005-03" xfId="2107"/>
    <cellStyle name="Comma1" xfId="383"/>
    <cellStyle name="Comma1 - Style1" xfId="2108"/>
    <cellStyle name="Comma2" xfId="384"/>
    <cellStyle name="CommaZeroDecimal" xfId="2109"/>
    <cellStyle name="Company Name" xfId="385"/>
    <cellStyle name="CompanyName" xfId="386"/>
    <cellStyle name="Copied" xfId="387"/>
    <cellStyle name="Copied 2" xfId="388"/>
    <cellStyle name="Copied 3" xfId="389"/>
    <cellStyle name="Copied 4" xfId="390"/>
    <cellStyle name="Copied 5" xfId="391"/>
    <cellStyle name="Copied 6" xfId="392"/>
    <cellStyle name="Copied_2009 Plan Projected Financials One Method" xfId="393"/>
    <cellStyle name="Curren - Style1" xfId="2110"/>
    <cellStyle name="Curren - Style2" xfId="394"/>
    <cellStyle name="Curren - Style4" xfId="2111"/>
    <cellStyle name="Curren - Style5" xfId="2112"/>
    <cellStyle name="Curren - Style6" xfId="2113"/>
    <cellStyle name="Curren - Style8" xfId="2114"/>
    <cellStyle name="Currency" xfId="1156" builtinId="4"/>
    <cellStyle name="Currency (0.00)" xfId="395"/>
    <cellStyle name="Currency (black)" xfId="2115"/>
    <cellStyle name="Currency (blue)" xfId="2116"/>
    <cellStyle name="Currency [0] 2" xfId="4151"/>
    <cellStyle name="Currency [00]" xfId="396"/>
    <cellStyle name="Currency [1]" xfId="397"/>
    <cellStyle name="Currency [2]" xfId="398"/>
    <cellStyle name="Currency 0" xfId="399"/>
    <cellStyle name="Currency 2" xfId="400"/>
    <cellStyle name="Currency 2 10" xfId="2117"/>
    <cellStyle name="Currency 2 11" xfId="2118"/>
    <cellStyle name="Currency 2 12" xfId="2119"/>
    <cellStyle name="Currency 2 13" xfId="2120"/>
    <cellStyle name="Currency 2 14" xfId="2121"/>
    <cellStyle name="Currency 2 15" xfId="2122"/>
    <cellStyle name="Currency 2 16" xfId="2123"/>
    <cellStyle name="Currency 2 17" xfId="2124"/>
    <cellStyle name="Currency 2 18" xfId="2125"/>
    <cellStyle name="Currency 2 19" xfId="2126"/>
    <cellStyle name="Currency 2 2" xfId="401"/>
    <cellStyle name="Currency 2 2 2" xfId="402"/>
    <cellStyle name="Currency 2 2 2 2" xfId="1231"/>
    <cellStyle name="Currency 2 2 2 3" xfId="1232"/>
    <cellStyle name="Currency 2 2 2 4" xfId="1233"/>
    <cellStyle name="Currency 2 2 2 5" xfId="1234"/>
    <cellStyle name="Currency 2 2 2 6" xfId="1235"/>
    <cellStyle name="Currency 2 2 3" xfId="1236"/>
    <cellStyle name="Currency 2 2 4" xfId="1237"/>
    <cellStyle name="Currency 2 2 5" xfId="1238"/>
    <cellStyle name="Currency 2 2 6" xfId="1239"/>
    <cellStyle name="Currency 2 2 7" xfId="1240"/>
    <cellStyle name="Currency 2 2 8" xfId="4217"/>
    <cellStyle name="Currency 2 20" xfId="2127"/>
    <cellStyle name="Currency 2 21" xfId="2128"/>
    <cellStyle name="Currency 2 22" xfId="2129"/>
    <cellStyle name="Currency 2 23" xfId="2130"/>
    <cellStyle name="Currency 2 24" xfId="2131"/>
    <cellStyle name="Currency 2 25" xfId="2132"/>
    <cellStyle name="Currency 2 26" xfId="2133"/>
    <cellStyle name="Currency 2 27" xfId="2134"/>
    <cellStyle name="Currency 2 28" xfId="2135"/>
    <cellStyle name="Currency 2 29" xfId="2136"/>
    <cellStyle name="Currency 2 3" xfId="403"/>
    <cellStyle name="Currency 2 30" xfId="2137"/>
    <cellStyle name="Currency 2 31" xfId="2138"/>
    <cellStyle name="Currency 2 32" xfId="2139"/>
    <cellStyle name="Currency 2 33" xfId="2140"/>
    <cellStyle name="Currency 2 34" xfId="2141"/>
    <cellStyle name="Currency 2 35" xfId="2142"/>
    <cellStyle name="Currency 2 36" xfId="2143"/>
    <cellStyle name="Currency 2 37" xfId="2144"/>
    <cellStyle name="Currency 2 38" xfId="2145"/>
    <cellStyle name="Currency 2 39" xfId="2146"/>
    <cellStyle name="Currency 2 4" xfId="2147"/>
    <cellStyle name="Currency 2 40" xfId="2148"/>
    <cellStyle name="Currency 2 41" xfId="2149"/>
    <cellStyle name="Currency 2 42" xfId="2150"/>
    <cellStyle name="Currency 2 43" xfId="2151"/>
    <cellStyle name="Currency 2 44" xfId="2152"/>
    <cellStyle name="Currency 2 45" xfId="2153"/>
    <cellStyle name="Currency 2 46" xfId="2154"/>
    <cellStyle name="Currency 2 47" xfId="2155"/>
    <cellStyle name="Currency 2 48" xfId="2156"/>
    <cellStyle name="Currency 2 49" xfId="2157"/>
    <cellStyle name="Currency 2 5" xfId="2158"/>
    <cellStyle name="Currency 2 50" xfId="2159"/>
    <cellStyle name="Currency 2 51" xfId="2160"/>
    <cellStyle name="Currency 2 52" xfId="2161"/>
    <cellStyle name="Currency 2 53" xfId="2162"/>
    <cellStyle name="Currency 2 54" xfId="2163"/>
    <cellStyle name="Currency 2 55" xfId="2164"/>
    <cellStyle name="Currency 2 56" xfId="2165"/>
    <cellStyle name="Currency 2 57" xfId="2166"/>
    <cellStyle name="Currency 2 58" xfId="2167"/>
    <cellStyle name="Currency 2 59" xfId="2168"/>
    <cellStyle name="Currency 2 6" xfId="2169"/>
    <cellStyle name="Currency 2 60" xfId="2170"/>
    <cellStyle name="Currency 2 61" xfId="2171"/>
    <cellStyle name="Currency 2 62" xfId="2172"/>
    <cellStyle name="Currency 2 63" xfId="2173"/>
    <cellStyle name="Currency 2 64" xfId="2174"/>
    <cellStyle name="Currency 2 7" xfId="2175"/>
    <cellStyle name="Currency 2 8" xfId="2176"/>
    <cellStyle name="Currency 2 9" xfId="2177"/>
    <cellStyle name="Currency 2*" xfId="404"/>
    <cellStyle name="Currency 2_2009 Plan Projected Financials One Method" xfId="405"/>
    <cellStyle name="Currency 3" xfId="406"/>
    <cellStyle name="Currency 3 2" xfId="2178"/>
    <cellStyle name="Currency 3 3" xfId="2179"/>
    <cellStyle name="Currency 3*" xfId="407"/>
    <cellStyle name="Currency 34" xfId="2180"/>
    <cellStyle name="Currency 4" xfId="408"/>
    <cellStyle name="Currency 4 2" xfId="409"/>
    <cellStyle name="Currency 4 2 2" xfId="1241"/>
    <cellStyle name="Currency 4 2 2 2" xfId="2181"/>
    <cellStyle name="Currency 4 2 2 3" xfId="2182"/>
    <cellStyle name="Currency 4 2 3" xfId="1242"/>
    <cellStyle name="Currency 4 2 4" xfId="1243"/>
    <cellStyle name="Currency 4 2 5" xfId="1244"/>
    <cellStyle name="Currency 4 2 6" xfId="1245"/>
    <cellStyle name="Currency 4 3" xfId="4170"/>
    <cellStyle name="Currency 5" xfId="410"/>
    <cellStyle name="Currency 6" xfId="2183"/>
    <cellStyle name="Currency 7" xfId="4193"/>
    <cellStyle name="Currency Input" xfId="411"/>
    <cellStyle name="Currency0" xfId="412"/>
    <cellStyle name="Currency1" xfId="413"/>
    <cellStyle name="Custom - Style8" xfId="2192"/>
    <cellStyle name="d/m/yr" xfId="414"/>
    <cellStyle name="Darkened" xfId="4177"/>
    <cellStyle name="Dash" xfId="415"/>
    <cellStyle name="Data   - Style2" xfId="2193"/>
    <cellStyle name="Data entry" xfId="416"/>
    <cellStyle name="DataBases" xfId="417"/>
    <cellStyle name="DataToHide" xfId="418"/>
    <cellStyle name="Date" xfId="419"/>
    <cellStyle name="Date - Style1" xfId="2184"/>
    <cellStyle name="Date - Style2" xfId="2185"/>
    <cellStyle name="Date - Style3" xfId="2186"/>
    <cellStyle name="Date - Style4" xfId="2187"/>
    <cellStyle name="Date - Style5" xfId="2188"/>
    <cellStyle name="Date [d-mmm-yy]" xfId="420"/>
    <cellStyle name="Date [mm-d-yy]" xfId="421"/>
    <cellStyle name="Date [mm-d-yyyy]" xfId="422"/>
    <cellStyle name="Date [mmm-d-yyyy]" xfId="423"/>
    <cellStyle name="Date [mmm-yy]" xfId="424"/>
    <cellStyle name="Date Aligned" xfId="425"/>
    <cellStyle name="Date Short" xfId="426"/>
    <cellStyle name="Date Year" xfId="427"/>
    <cellStyle name="Date/FG" xfId="2189"/>
    <cellStyle name="Date_BOOK1" xfId="428"/>
    <cellStyle name="DATES" xfId="429"/>
    <cellStyle name="DateYear" xfId="430"/>
    <cellStyle name="DateYearEstimate" xfId="431"/>
    <cellStyle name="DateYearWholeEstimate" xfId="432"/>
    <cellStyle name="Daydate" xfId="433"/>
    <cellStyle name="Day-Mon-Yr" xfId="434"/>
    <cellStyle name="Decimal" xfId="435"/>
    <cellStyle name="Decimal Number" xfId="436"/>
    <cellStyle name="default" xfId="437"/>
    <cellStyle name="DELTA" xfId="438"/>
    <cellStyle name="Dezimal [0]_Central Install 6-up" xfId="439"/>
    <cellStyle name="Dezimal_Central Install 6-up" xfId="440"/>
    <cellStyle name="Dollar" xfId="441"/>
    <cellStyle name="dollars" xfId="442"/>
    <cellStyle name="Dollars []" xfId="443"/>
    <cellStyle name="Dollars_Canon CapIQ linked v1" xfId="444"/>
    <cellStyle name="DollarWhole" xfId="445"/>
    <cellStyle name="Dotted Line" xfId="446"/>
    <cellStyle name="Double Bottom" xfId="447"/>
    <cellStyle name="Download" xfId="448"/>
    <cellStyle name="Enter Currency (0)" xfId="449"/>
    <cellStyle name="Enter Currency (2)" xfId="450"/>
    <cellStyle name="Enter Units (0)" xfId="451"/>
    <cellStyle name="Enter Units (1)" xfId="452"/>
    <cellStyle name="Enter Units (2)" xfId="453"/>
    <cellStyle name="Entered" xfId="454"/>
    <cellStyle name="Entered 2" xfId="455"/>
    <cellStyle name="Entered 3" xfId="456"/>
    <cellStyle name="Entered 4" xfId="457"/>
    <cellStyle name="Entered 5" xfId="458"/>
    <cellStyle name="Entered 6" xfId="459"/>
    <cellStyle name="Entered_2009 Plan Projected Financials One Method" xfId="460"/>
    <cellStyle name="Entities" xfId="461"/>
    <cellStyle name="Euro" xfId="462"/>
    <cellStyle name="Euro 2" xfId="463"/>
    <cellStyle name="Euro 3" xfId="464"/>
    <cellStyle name="Euro_2009 Plan Projected Financials One Method" xfId="465"/>
    <cellStyle name="Explanatory Text" xfId="466" builtinId="53" customBuiltin="1"/>
    <cellStyle name="F2" xfId="467"/>
    <cellStyle name="F3" xfId="468"/>
    <cellStyle name="F4" xfId="469"/>
    <cellStyle name="F5" xfId="470"/>
    <cellStyle name="F6" xfId="471"/>
    <cellStyle name="F7" xfId="472"/>
    <cellStyle name="F8" xfId="473"/>
    <cellStyle name="Final_Data" xfId="474"/>
    <cellStyle name="Fixed" xfId="475"/>
    <cellStyle name="Fixed [0]" xfId="476"/>
    <cellStyle name="Fixed_Burdick DCF Model -10" xfId="477"/>
    <cellStyle name="Fixed0" xfId="478"/>
    <cellStyle name="Footnote" xfId="479"/>
    <cellStyle name="ForecastInput" xfId="480"/>
    <cellStyle name="Format Number Column" xfId="481"/>
    <cellStyle name="Global" xfId="482"/>
    <cellStyle name="Good" xfId="483" builtinId="26" customBuiltin="1"/>
    <cellStyle name="Grey" xfId="484"/>
    <cellStyle name="Growth" xfId="485"/>
    <cellStyle name="GrowthRate" xfId="486"/>
    <cellStyle name="Hard Percent" xfId="487"/>
    <cellStyle name="header" xfId="488"/>
    <cellStyle name="Header Total" xfId="489"/>
    <cellStyle name="Header_5 Yr finl fcst" xfId="490"/>
    <cellStyle name="Header1" xfId="491"/>
    <cellStyle name="Header1 2" xfId="492"/>
    <cellStyle name="Header1 3" xfId="493"/>
    <cellStyle name="Header1 4" xfId="494"/>
    <cellStyle name="Header1 5" xfId="495"/>
    <cellStyle name="Header1 6" xfId="496"/>
    <cellStyle name="Header1_2009 Plan Projected Financials One Method" xfId="497"/>
    <cellStyle name="Header2" xfId="498"/>
    <cellStyle name="Header2 10" xfId="1246"/>
    <cellStyle name="Header2 11" xfId="1247"/>
    <cellStyle name="Header2 12" xfId="1248"/>
    <cellStyle name="Header2 2" xfId="499"/>
    <cellStyle name="Header2 2 2" xfId="500"/>
    <cellStyle name="Header2 2 2 2" xfId="1249"/>
    <cellStyle name="Header2 2 2 3" xfId="1250"/>
    <cellStyle name="Header2 2 2 4" xfId="1251"/>
    <cellStyle name="Header2 2 2 5" xfId="1252"/>
    <cellStyle name="Header2 2 2 6" xfId="1253"/>
    <cellStyle name="Header2 2 3" xfId="1254"/>
    <cellStyle name="Header2 2 4" xfId="1255"/>
    <cellStyle name="Header2 2 5" xfId="1256"/>
    <cellStyle name="Header2 2 6" xfId="1257"/>
    <cellStyle name="Header2 2 7" xfId="1258"/>
    <cellStyle name="Header2 2_2009 Plan Projected Financials One Method" xfId="501"/>
    <cellStyle name="Header2 3" xfId="502"/>
    <cellStyle name="Header2 3 2" xfId="503"/>
    <cellStyle name="Header2 3 2 2" xfId="1259"/>
    <cellStyle name="Header2 3 2 3" xfId="1260"/>
    <cellStyle name="Header2 3 2 4" xfId="1261"/>
    <cellStyle name="Header2 3 2 5" xfId="1262"/>
    <cellStyle name="Header2 3 2 6" xfId="1263"/>
    <cellStyle name="Header2 3 3" xfId="1264"/>
    <cellStyle name="Header2 3 4" xfId="1265"/>
    <cellStyle name="Header2 3 5" xfId="1266"/>
    <cellStyle name="Header2 3 6" xfId="1267"/>
    <cellStyle name="Header2 3 7" xfId="1268"/>
    <cellStyle name="Header2 3_2009 Plan Projected Financials One Method" xfId="504"/>
    <cellStyle name="Header2 4" xfId="505"/>
    <cellStyle name="Header2 4 2" xfId="506"/>
    <cellStyle name="Header2 4 2 2" xfId="1269"/>
    <cellStyle name="Header2 4 2 3" xfId="1270"/>
    <cellStyle name="Header2 4 2 4" xfId="1271"/>
    <cellStyle name="Header2 4 2 5" xfId="1272"/>
    <cellStyle name="Header2 4 2 6" xfId="1273"/>
    <cellStyle name="Header2 4 3" xfId="1274"/>
    <cellStyle name="Header2 4 4" xfId="1275"/>
    <cellStyle name="Header2 4 5" xfId="1276"/>
    <cellStyle name="Header2 4 6" xfId="1277"/>
    <cellStyle name="Header2 4 7" xfId="1278"/>
    <cellStyle name="Header2 4_2009 Plan Projected Financials One Method" xfId="507"/>
    <cellStyle name="Header2 5" xfId="508"/>
    <cellStyle name="Header2 5 2" xfId="509"/>
    <cellStyle name="Header2 5 2 2" xfId="1279"/>
    <cellStyle name="Header2 5 2 3" xfId="1280"/>
    <cellStyle name="Header2 5 2 4" xfId="1281"/>
    <cellStyle name="Header2 5 2 5" xfId="1282"/>
    <cellStyle name="Header2 5 2 6" xfId="1283"/>
    <cellStyle name="Header2 5 3" xfId="1284"/>
    <cellStyle name="Header2 5 4" xfId="1285"/>
    <cellStyle name="Header2 5 5" xfId="1286"/>
    <cellStyle name="Header2 5 6" xfId="1287"/>
    <cellStyle name="Header2 5 7" xfId="1288"/>
    <cellStyle name="Header2 5_2009 Plan Projected Financials One Method" xfId="510"/>
    <cellStyle name="Header2 6" xfId="511"/>
    <cellStyle name="Header2 6 2" xfId="512"/>
    <cellStyle name="Header2 6 2 2" xfId="1289"/>
    <cellStyle name="Header2 6 2 3" xfId="1290"/>
    <cellStyle name="Header2 6 2 4" xfId="1291"/>
    <cellStyle name="Header2 6 2 5" xfId="1292"/>
    <cellStyle name="Header2 6 2 6" xfId="1293"/>
    <cellStyle name="Header2 6 3" xfId="1294"/>
    <cellStyle name="Header2 6 4" xfId="1295"/>
    <cellStyle name="Header2 6 5" xfId="1296"/>
    <cellStyle name="Header2 6 6" xfId="1297"/>
    <cellStyle name="Header2 6 7" xfId="1298"/>
    <cellStyle name="Header2 6_2009 Plan Projected Financials One Method" xfId="513"/>
    <cellStyle name="Header2 7" xfId="514"/>
    <cellStyle name="Header2 7 2" xfId="1299"/>
    <cellStyle name="Header2 7 3" xfId="1300"/>
    <cellStyle name="Header2 7 4" xfId="1301"/>
    <cellStyle name="Header2 7 5" xfId="1302"/>
    <cellStyle name="Header2 7 6" xfId="1303"/>
    <cellStyle name="Header2 8" xfId="1304"/>
    <cellStyle name="Header2 9" xfId="1305"/>
    <cellStyle name="Header2_2009 Plan Projected Financials One Method" xfId="515"/>
    <cellStyle name="Header3" xfId="516"/>
    <cellStyle name="Header4" xfId="517"/>
    <cellStyle name="Heading" xfId="518"/>
    <cellStyle name="Heading 1" xfId="519" builtinId="16" customBuiltin="1"/>
    <cellStyle name="Heading 2" xfId="520" builtinId="17" customBuiltin="1"/>
    <cellStyle name="Heading 3" xfId="521" builtinId="18" customBuiltin="1"/>
    <cellStyle name="Heading 4" xfId="522" builtinId="19" customBuiltin="1"/>
    <cellStyle name="heading info" xfId="523"/>
    <cellStyle name="Heading No Underline" xfId="524"/>
    <cellStyle name="Heading With Underline" xfId="525"/>
    <cellStyle name="Heading1" xfId="526"/>
    <cellStyle name="Heading2" xfId="527"/>
    <cellStyle name="HEADINGS" xfId="528"/>
    <cellStyle name="HEADINGSTOP" xfId="529"/>
    <cellStyle name="HIDDEN" xfId="530"/>
    <cellStyle name="Hyperlink 2" xfId="4178"/>
    <cellStyle name="Hyperlink 3" xfId="4179"/>
    <cellStyle name="IncomeStatement" xfId="531"/>
    <cellStyle name="Input" xfId="532" builtinId="20" customBuiltin="1"/>
    <cellStyle name="Input [yellow]" xfId="533"/>
    <cellStyle name="Input Currency" xfId="534"/>
    <cellStyle name="Input Date" xfId="535"/>
    <cellStyle name="Input Fixed [0]" xfId="536"/>
    <cellStyle name="Input Normal" xfId="537"/>
    <cellStyle name="Input Percent" xfId="538"/>
    <cellStyle name="Input Percent [2]" xfId="539"/>
    <cellStyle name="Input Titles" xfId="540"/>
    <cellStyle name="Input%" xfId="541"/>
    <cellStyle name="InputBlueFont" xfId="542"/>
    <cellStyle name="InputPop" xfId="543"/>
    <cellStyle name="Inputs" xfId="544"/>
    <cellStyle name="Input-Text Only" xfId="545"/>
    <cellStyle name="Integer" xfId="546"/>
    <cellStyle name="Invisible" xfId="547"/>
    <cellStyle name="Jason" xfId="548"/>
    <cellStyle name="JustOneDec" xfId="549"/>
    <cellStyle name="Komma [0]_NEGS" xfId="550"/>
    <cellStyle name="Komma_NEGS" xfId="551"/>
    <cellStyle name="Lien hypertexte_NEGS" xfId="552"/>
    <cellStyle name="LineBottom" xfId="553"/>
    <cellStyle name="LineItems" xfId="554"/>
    <cellStyle name="Lines / Dark Shade / Bold" xfId="555"/>
    <cellStyle name="Lines All" xfId="556"/>
    <cellStyle name="Lines/Lt Shade/Bold" xfId="557"/>
    <cellStyle name="LineTop" xfId="558"/>
    <cellStyle name="Link Currency (0)" xfId="559"/>
    <cellStyle name="Link Currency (2)" xfId="560"/>
    <cellStyle name="Link Units (0)" xfId="561"/>
    <cellStyle name="Link Units (1)" xfId="562"/>
    <cellStyle name="Link Units (2)" xfId="563"/>
    <cellStyle name="Linked Cell" xfId="564" builtinId="24" customBuiltin="1"/>
    <cellStyle name="LookUpText" xfId="565"/>
    <cellStyle name="Map Labels" xfId="566"/>
    <cellStyle name="Map Legend" xfId="567"/>
    <cellStyle name="Map Title" xfId="568"/>
    <cellStyle name="Margins" xfId="569"/>
    <cellStyle name="Miles" xfId="570"/>
    <cellStyle name="Millares [0]_laroux" xfId="571"/>
    <cellStyle name="Millares 2" xfId="4147"/>
    <cellStyle name="Millares_EFIN1299-1-SIN BONIF. junta consejo" xfId="4155"/>
    <cellStyle name="Milliers [0]_97NOVFOR" xfId="572"/>
    <cellStyle name="Milliers_97NOVFOR" xfId="573"/>
    <cellStyle name="Mills" xfId="574"/>
    <cellStyle name="MMs1Place" xfId="575"/>
    <cellStyle name="MMs2Places" xfId="576"/>
    <cellStyle name="mo" xfId="577"/>
    <cellStyle name="mo end" xfId="578"/>
    <cellStyle name="mo_~8080122" xfId="579"/>
    <cellStyle name="Model" xfId="580"/>
    <cellStyle name="Moneda [0]_CONTENCION CONDELL 25.051" xfId="581"/>
    <cellStyle name="Moneda_CONTENCION CONDELL 25.051" xfId="582"/>
    <cellStyle name="Monétaire [0]_97NOVFOR" xfId="583"/>
    <cellStyle name="Monétaire_97NOVFOR" xfId="584"/>
    <cellStyle name="MonthYear" xfId="585"/>
    <cellStyle name="Mon-Yr" xfId="586"/>
    <cellStyle name="Mult No x" xfId="587"/>
    <cellStyle name="Mult With x" xfId="588"/>
    <cellStyle name="Multiple" xfId="589"/>
    <cellStyle name="Multiple (no x)" xfId="590"/>
    <cellStyle name="Multiple (x)" xfId="591"/>
    <cellStyle name="Multiple []" xfId="592"/>
    <cellStyle name="Multiple [0]" xfId="593"/>
    <cellStyle name="Multiple [0] []" xfId="594"/>
    <cellStyle name="Multiple [1]" xfId="595"/>
    <cellStyle name="Multiple [1] []" xfId="596"/>
    <cellStyle name="Multiple_AGAM" xfId="597"/>
    <cellStyle name="MultipleBelow" xfId="598"/>
    <cellStyle name="NA is zero" xfId="599"/>
    <cellStyle name="Neutral" xfId="600" builtinId="28" customBuiltin="1"/>
    <cellStyle name="new" xfId="601"/>
    <cellStyle name="NewColumnHeaderNormal" xfId="602"/>
    <cellStyle name="NewSectionHeaderNormal" xfId="603"/>
    <cellStyle name="NewTitleNormal" xfId="604"/>
    <cellStyle name="No Border" xfId="605"/>
    <cellStyle name="No Border 2" xfId="606"/>
    <cellStyle name="No Border 3" xfId="607"/>
    <cellStyle name="No Border 4" xfId="608"/>
    <cellStyle name="No Border 5" xfId="609"/>
    <cellStyle name="No Border 6" xfId="610"/>
    <cellStyle name="no dec" xfId="611"/>
    <cellStyle name="nonmultiple" xfId="612"/>
    <cellStyle name="NonPrint_Heading" xfId="613"/>
    <cellStyle name="Normal" xfId="0" builtinId="0"/>
    <cellStyle name="Normal - Style1" xfId="614"/>
    <cellStyle name="Normal - Style2" xfId="615"/>
    <cellStyle name="Normal - Style3" xfId="616"/>
    <cellStyle name="Normal - Style4" xfId="617"/>
    <cellStyle name="Normal - Style5" xfId="618"/>
    <cellStyle name="Normal - Style6" xfId="619"/>
    <cellStyle name="Normal - Style7" xfId="620"/>
    <cellStyle name="Normal - Style8" xfId="621"/>
    <cellStyle name="Normal - Style8 2" xfId="2623"/>
    <cellStyle name="Normal - 유형1" xfId="622"/>
    <cellStyle name="Normal [0]" xfId="623"/>
    <cellStyle name="Normal [1]" xfId="624"/>
    <cellStyle name="Normal [2]" xfId="625"/>
    <cellStyle name="Normal [3]" xfId="626"/>
    <cellStyle name="Normal 10" xfId="627"/>
    <cellStyle name="Normal 10 2" xfId="628"/>
    <cellStyle name="Normal 10 2 2" xfId="1306"/>
    <cellStyle name="Normal 10 2 3" xfId="1307"/>
    <cellStyle name="Normal 10 2 4" xfId="1308"/>
    <cellStyle name="Normal 10 2 5" xfId="1309"/>
    <cellStyle name="Normal 10 2 6" xfId="1310"/>
    <cellStyle name="Normal 10 3" xfId="4209"/>
    <cellStyle name="Normal 10_2009 Plan Projected Financials One Method" xfId="629"/>
    <cellStyle name="Normal 11" xfId="630"/>
    <cellStyle name="Normal 11 2" xfId="631"/>
    <cellStyle name="Normal 11 2 2" xfId="1311"/>
    <cellStyle name="Normal 11 2 3" xfId="1312"/>
    <cellStyle name="Normal 11 2 4" xfId="1313"/>
    <cellStyle name="Normal 11 2 5" xfId="1314"/>
    <cellStyle name="Normal 11 2 6" xfId="1315"/>
    <cellStyle name="Normal 11 4" xfId="1316"/>
    <cellStyle name="Normal 11_2009 Plan Projected Financials One Method" xfId="632"/>
    <cellStyle name="Normal 12" xfId="633"/>
    <cellStyle name="Normal 13" xfId="634"/>
    <cellStyle name="Normal 13 2" xfId="1317"/>
    <cellStyle name="Normal 13 3" xfId="1318"/>
    <cellStyle name="Normal 13 4" xfId="1319"/>
    <cellStyle name="Normal 13 5" xfId="1320"/>
    <cellStyle name="Normal 13 6" xfId="1321"/>
    <cellStyle name="Normal 14" xfId="635"/>
    <cellStyle name="Normal 14 2" xfId="1322"/>
    <cellStyle name="Normal 14 3" xfId="1323"/>
    <cellStyle name="Normal 14 4" xfId="1324"/>
    <cellStyle name="Normal 14 5" xfId="1325"/>
    <cellStyle name="Normal 14 6" xfId="1326"/>
    <cellStyle name="Normal 15" xfId="636"/>
    <cellStyle name="Normal 15 2" xfId="637"/>
    <cellStyle name="Normal 15 2 2" xfId="1327"/>
    <cellStyle name="Normal 15 2 3" xfId="1328"/>
    <cellStyle name="Normal 15 2 4" xfId="1329"/>
    <cellStyle name="Normal 15 2 5" xfId="1330"/>
    <cellStyle name="Normal 15 2 6" xfId="1331"/>
    <cellStyle name="Normal 15 3" xfId="1332"/>
    <cellStyle name="Normal 15 4" xfId="1333"/>
    <cellStyle name="Normal 15 5" xfId="1334"/>
    <cellStyle name="Normal 15 6" xfId="1335"/>
    <cellStyle name="Normal 15 7" xfId="1336"/>
    <cellStyle name="Normal 15_2009 Plan Projected Financials One Method" xfId="638"/>
    <cellStyle name="Normal 16" xfId="639"/>
    <cellStyle name="Normal 16 2" xfId="640"/>
    <cellStyle name="Normal 16 2 2" xfId="1337"/>
    <cellStyle name="Normal 16 2 3" xfId="1338"/>
    <cellStyle name="Normal 16 2 4" xfId="1339"/>
    <cellStyle name="Normal 16 2 5" xfId="1340"/>
    <cellStyle name="Normal 16 2 6" xfId="1341"/>
    <cellStyle name="Normal 16 3" xfId="1342"/>
    <cellStyle name="Normal 16 4" xfId="1343"/>
    <cellStyle name="Normal 16 5" xfId="1344"/>
    <cellStyle name="Normal 16 6" xfId="1345"/>
    <cellStyle name="Normal 16 7" xfId="1346"/>
    <cellStyle name="Normal 17" xfId="641"/>
    <cellStyle name="Normal 17 2" xfId="642"/>
    <cellStyle name="Normal 17 2 2" xfId="1347"/>
    <cellStyle name="Normal 17 2 3" xfId="1348"/>
    <cellStyle name="Normal 17 2 4" xfId="1349"/>
    <cellStyle name="Normal 17 2 5" xfId="1350"/>
    <cellStyle name="Normal 17 2 6" xfId="1351"/>
    <cellStyle name="Normal 17 3" xfId="1352"/>
    <cellStyle name="Normal 17 4" xfId="1353"/>
    <cellStyle name="Normal 17 5" xfId="1354"/>
    <cellStyle name="Normal 17 6" xfId="1355"/>
    <cellStyle name="Normal 17 7" xfId="1356"/>
    <cellStyle name="Normal 18" xfId="643"/>
    <cellStyle name="Normal 19" xfId="644"/>
    <cellStyle name="Normal 2" xfId="645"/>
    <cellStyle name="Normal 2 10" xfId="646"/>
    <cellStyle name="Normal 2 11" xfId="647"/>
    <cellStyle name="Normal 2 12" xfId="648"/>
    <cellStyle name="Normal 2 13" xfId="1357"/>
    <cellStyle name="Normal 2 14" xfId="1358"/>
    <cellStyle name="Normal 2 15" xfId="1359"/>
    <cellStyle name="Normal 2 16" xfId="1360"/>
    <cellStyle name="Normal 2 17" xfId="1361"/>
    <cellStyle name="Normal 2 18" xfId="1362"/>
    <cellStyle name="Normal 2 19" xfId="1522"/>
    <cellStyle name="Normal 2 2" xfId="649"/>
    <cellStyle name="Normal 2 2 2" xfId="650"/>
    <cellStyle name="Normal 2 2_2009 Plan Projected Financials One Method" xfId="651"/>
    <cellStyle name="Normal 2 20" xfId="4148"/>
    <cellStyle name="Normal 2 3" xfId="652"/>
    <cellStyle name="Normal 2 3 2" xfId="653"/>
    <cellStyle name="Normal 2 3 3" xfId="654"/>
    <cellStyle name="Normal 2 3 4" xfId="655"/>
    <cellStyle name="Normal 2 3_2009 Plan Projected Financials One Method" xfId="656"/>
    <cellStyle name="Normal 2 4" xfId="657"/>
    <cellStyle name="Normal 2 4 2" xfId="4149"/>
    <cellStyle name="Normal 2 5" xfId="658"/>
    <cellStyle name="Normal 2 6" xfId="659"/>
    <cellStyle name="Normal 2 7" xfId="660"/>
    <cellStyle name="Normal 2 7 2" xfId="661"/>
    <cellStyle name="Normal 2 7 2 2" xfId="1363"/>
    <cellStyle name="Normal 2 7 2 3" xfId="1364"/>
    <cellStyle name="Normal 2 7 2 4" xfId="1365"/>
    <cellStyle name="Normal 2 7 2 5" xfId="1366"/>
    <cellStyle name="Normal 2 7 2 6" xfId="1367"/>
    <cellStyle name="Normal 2 7 3" xfId="1368"/>
    <cellStyle name="Normal 2 7 4" xfId="1369"/>
    <cellStyle name="Normal 2 7 5" xfId="1370"/>
    <cellStyle name="Normal 2 7 6" xfId="1371"/>
    <cellStyle name="Normal 2 7 7" xfId="1372"/>
    <cellStyle name="Normal 2 8" xfId="662"/>
    <cellStyle name="Normal 2 8 2" xfId="663"/>
    <cellStyle name="Normal 2 8 2 2" xfId="1373"/>
    <cellStyle name="Normal 2 8 2 3" xfId="1374"/>
    <cellStyle name="Normal 2 8 2 4" xfId="1375"/>
    <cellStyle name="Normal 2 8 2 5" xfId="1376"/>
    <cellStyle name="Normal 2 8 2 6" xfId="1377"/>
    <cellStyle name="Normal 2 8 3" xfId="1378"/>
    <cellStyle name="Normal 2 8 4" xfId="1379"/>
    <cellStyle name="Normal 2 8 5" xfId="1380"/>
    <cellStyle name="Normal 2 8 6" xfId="1381"/>
    <cellStyle name="Normal 2 8 7" xfId="1382"/>
    <cellStyle name="Normal 2 9" xfId="664"/>
    <cellStyle name="Normal 2 9 2" xfId="665"/>
    <cellStyle name="Normal 2 9 2 2" xfId="1383"/>
    <cellStyle name="Normal 2 9 2 3" xfId="1384"/>
    <cellStyle name="Normal 2 9 2 4" xfId="1385"/>
    <cellStyle name="Normal 2 9 2 5" xfId="1386"/>
    <cellStyle name="Normal 2 9 2 6" xfId="1387"/>
    <cellStyle name="Normal 2 9 3" xfId="1388"/>
    <cellStyle name="Normal 2 9 4" xfId="1389"/>
    <cellStyle name="Normal 2 9 5" xfId="1390"/>
    <cellStyle name="Normal 2 9 6" xfId="1391"/>
    <cellStyle name="Normal 2 9 7" xfId="1392"/>
    <cellStyle name="Normal 2_2009 Plan Projected Financials One Method" xfId="666"/>
    <cellStyle name="Normal 20" xfId="667"/>
    <cellStyle name="Normal 21" xfId="1153"/>
    <cellStyle name="Normal 22" xfId="1157"/>
    <cellStyle name="Normal 22 2" xfId="2617"/>
    <cellStyle name="Normal 23" xfId="1393"/>
    <cellStyle name="Normal 24" xfId="1394"/>
    <cellStyle name="Normal 25" xfId="1395"/>
    <cellStyle name="Normal 26" xfId="1519"/>
    <cellStyle name="Normal 27" xfId="1562"/>
    <cellStyle name="Normal 28" xfId="1564"/>
    <cellStyle name="Normal 29" xfId="2562"/>
    <cellStyle name="Normal 3" xfId="668"/>
    <cellStyle name="Normal 3 10" xfId="669"/>
    <cellStyle name="Normal 3 10 2" xfId="1396"/>
    <cellStyle name="Normal 3 10 3" xfId="1397"/>
    <cellStyle name="Normal 3 10 4" xfId="1398"/>
    <cellStyle name="Normal 3 10 5" xfId="1399"/>
    <cellStyle name="Normal 3 10 6" xfId="1400"/>
    <cellStyle name="Normal 3 11" xfId="1401"/>
    <cellStyle name="Normal 3 12" xfId="1402"/>
    <cellStyle name="Normal 3 13" xfId="1403"/>
    <cellStyle name="Normal 3 14" xfId="1404"/>
    <cellStyle name="Normal 3 15" xfId="2561"/>
    <cellStyle name="Normal 3 2" xfId="670"/>
    <cellStyle name="Normal 3 2 2" xfId="4215"/>
    <cellStyle name="Normal 3 3" xfId="671"/>
    <cellStyle name="Normal 3 3 2" xfId="672"/>
    <cellStyle name="Normal 3 3_2009 Plan Projected Financials One Method" xfId="673"/>
    <cellStyle name="Normal 3 4" xfId="674"/>
    <cellStyle name="Normal 3 5" xfId="675"/>
    <cellStyle name="Normal 3 5 2" xfId="2591"/>
    <cellStyle name="Normal 3 6" xfId="676"/>
    <cellStyle name="Normal 3 7" xfId="677"/>
    <cellStyle name="Normal 3 7 2" xfId="678"/>
    <cellStyle name="Normal 3 7 2 2" xfId="1405"/>
    <cellStyle name="Normal 3 7 2 3" xfId="1406"/>
    <cellStyle name="Normal 3 7 2 4" xfId="1407"/>
    <cellStyle name="Normal 3 7 2 5" xfId="1408"/>
    <cellStyle name="Normal 3 7 2 6" xfId="1409"/>
    <cellStyle name="Normal 3 7_2009 Plan Projected Financials One Method" xfId="679"/>
    <cellStyle name="Normal 3 8" xfId="680"/>
    <cellStyle name="Normal 3 8 2" xfId="681"/>
    <cellStyle name="Normal 3 8 2 2" xfId="1410"/>
    <cellStyle name="Normal 3 8 2 3" xfId="1411"/>
    <cellStyle name="Normal 3 8 2 4" xfId="1412"/>
    <cellStyle name="Normal 3 8 2 5" xfId="1413"/>
    <cellStyle name="Normal 3 8 2 6" xfId="1414"/>
    <cellStyle name="Normal 3 8 3" xfId="1415"/>
    <cellStyle name="Normal 3 8 4" xfId="1416"/>
    <cellStyle name="Normal 3 8 5" xfId="1417"/>
    <cellStyle name="Normal 3 8 6" xfId="1418"/>
    <cellStyle name="Normal 3 8 7" xfId="1419"/>
    <cellStyle name="Normal 3 9" xfId="682"/>
    <cellStyle name="Normal 3 9 2" xfId="683"/>
    <cellStyle name="Normal 3 9 2 2" xfId="1420"/>
    <cellStyle name="Normal 3 9 2 3" xfId="1421"/>
    <cellStyle name="Normal 3 9 2 4" xfId="1422"/>
    <cellStyle name="Normal 3 9 2 5" xfId="1423"/>
    <cellStyle name="Normal 3 9 2 6" xfId="1424"/>
    <cellStyle name="Normal 3 9 3" xfId="1425"/>
    <cellStyle name="Normal 3 9 4" xfId="1426"/>
    <cellStyle name="Normal 3 9 5" xfId="1427"/>
    <cellStyle name="Normal 3 9 6" xfId="1428"/>
    <cellStyle name="Normal 3 9 7" xfId="1429"/>
    <cellStyle name="Normal 3_2009 Plan Projected Financials One Method" xfId="684"/>
    <cellStyle name="Normal 30" xfId="2564"/>
    <cellStyle name="Normal 31" xfId="2580"/>
    <cellStyle name="Normal 32" xfId="2613"/>
    <cellStyle name="Normal 33" xfId="2615"/>
    <cellStyle name="Normal 34" xfId="2625"/>
    <cellStyle name="Normal 35" xfId="4154"/>
    <cellStyle name="Normal 36" xfId="4156"/>
    <cellStyle name="Normal 37" xfId="4159"/>
    <cellStyle name="Normal 38" xfId="4165"/>
    <cellStyle name="Normal 39" xfId="4173"/>
    <cellStyle name="Normal 4" xfId="685"/>
    <cellStyle name="Normal 4 2" xfId="686"/>
    <cellStyle name="Normal 4 3" xfId="687"/>
    <cellStyle name="Normal 4 4" xfId="2618"/>
    <cellStyle name="Normal 4_2009 Plan Projected Financials One Method" xfId="688"/>
    <cellStyle name="Normal 41" xfId="4214"/>
    <cellStyle name="Normal 44" xfId="4212"/>
    <cellStyle name="Normal 5" xfId="689"/>
    <cellStyle name="Normal 5 2" xfId="690"/>
    <cellStyle name="Normal 5 2 2" xfId="691"/>
    <cellStyle name="Normal 5 2 2 2" xfId="1430"/>
    <cellStyle name="Normal 5 2 2 3" xfId="1431"/>
    <cellStyle name="Normal 5 2 2 4" xfId="1432"/>
    <cellStyle name="Normal 5 2 2 5" xfId="1433"/>
    <cellStyle name="Normal 5 2 2 6" xfId="1434"/>
    <cellStyle name="Normal 5 2 3" xfId="1435"/>
    <cellStyle name="Normal 5 2 4" xfId="1436"/>
    <cellStyle name="Normal 5 2 5" xfId="1437"/>
    <cellStyle name="Normal 5 2 6" xfId="1438"/>
    <cellStyle name="Normal 5 2 7" xfId="1439"/>
    <cellStyle name="Normal 5 3" xfId="1440"/>
    <cellStyle name="Normal 5 4" xfId="1441"/>
    <cellStyle name="Normal 5 5" xfId="1442"/>
    <cellStyle name="Normal 5 6" xfId="1443"/>
    <cellStyle name="Normal 5 7" xfId="1444"/>
    <cellStyle name="Normal 5 8" xfId="1445"/>
    <cellStyle name="Normal 5 9" xfId="4144"/>
    <cellStyle name="Normal 5_2009 Plan Projected Financials One Method" xfId="692"/>
    <cellStyle name="Normal 6" xfId="693"/>
    <cellStyle name="Normal 6 2" xfId="694"/>
    <cellStyle name="Normal 6 3" xfId="2583"/>
    <cellStyle name="Normal 6_2009 Plan Projected Financials One Method" xfId="695"/>
    <cellStyle name="Normal 7" xfId="696"/>
    <cellStyle name="Normal 7 2" xfId="697"/>
    <cellStyle name="Normal 7 2 2" xfId="1446"/>
    <cellStyle name="Normal 7 2 3" xfId="1447"/>
    <cellStyle name="Normal 7 2 4" xfId="1448"/>
    <cellStyle name="Normal 7 2 5" xfId="1449"/>
    <cellStyle name="Normal 7 2 6" xfId="1450"/>
    <cellStyle name="Normal 7 3" xfId="1451"/>
    <cellStyle name="Normal 7 4" xfId="1452"/>
    <cellStyle name="Normal 7 5" xfId="1453"/>
    <cellStyle name="Normal 7 6" xfId="1454"/>
    <cellStyle name="Normal 7 7" xfId="1455"/>
    <cellStyle name="Normal 7 8" xfId="1456"/>
    <cellStyle name="Normal 7 9" xfId="4167"/>
    <cellStyle name="Normal 8" xfId="698"/>
    <cellStyle name="Normal 9" xfId="699"/>
    <cellStyle name="Normal 9 2" xfId="2191"/>
    <cellStyle name="Normal Bold" xfId="700"/>
    <cellStyle name="Normal Number" xfId="701"/>
    <cellStyle name="Normal Pct" xfId="702"/>
    <cellStyle name="Normal_ACS Media Model 042403" xfId="703"/>
    <cellStyle name="Normal_Rosedale Medical - VAMS v8 Exhibits" xfId="4208"/>
    <cellStyle name="Normal1" xfId="704"/>
    <cellStyle name="Normal1Places" xfId="705"/>
    <cellStyle name="Normal2" xfId="706"/>
    <cellStyle name="Normal2Places" xfId="707"/>
    <cellStyle name="Normal3" xfId="708"/>
    <cellStyle name="Normal3Places" xfId="709"/>
    <cellStyle name="Normal4" xfId="710"/>
    <cellStyle name="Normal8" xfId="711"/>
    <cellStyle name="NormalBold" xfId="712"/>
    <cellStyle name="Normale_Pipeline Summary" xfId="713"/>
    <cellStyle name="NormalEPS" xfId="714"/>
    <cellStyle name="NormalGB" xfId="715"/>
    <cellStyle name="NormalJEM" xfId="716"/>
    <cellStyle name="NormalPop" xfId="717"/>
    <cellStyle name="Note" xfId="718" builtinId="10" customBuiltin="1"/>
    <cellStyle name="NPPESalesPct" xfId="719"/>
    <cellStyle name="Number" xfId="720"/>
    <cellStyle name="numbers" xfId="721"/>
    <cellStyle name="Œ…‹æØ‚è [0.00]_Capital Structure" xfId="722"/>
    <cellStyle name="Œ…‹æØ‚è_Capital Structure" xfId="723"/>
    <cellStyle name="OScommands" xfId="724"/>
    <cellStyle name="Output" xfId="725" builtinId="21" customBuiltin="1"/>
    <cellStyle name="Output Amounts" xfId="726"/>
    <cellStyle name="Output Column Headings" xfId="727"/>
    <cellStyle name="Output Line Items" xfId="728"/>
    <cellStyle name="Output Report Heading" xfId="729"/>
    <cellStyle name="Output Report Title" xfId="730"/>
    <cellStyle name="Outputs" xfId="731"/>
    <cellStyle name="p" xfId="732"/>
    <cellStyle name="p_DCF" xfId="733"/>
    <cellStyle name="Page Number" xfId="734"/>
    <cellStyle name="paint" xfId="735"/>
    <cellStyle name="Palatino" xfId="736"/>
    <cellStyle name="pc1" xfId="737"/>
    <cellStyle name="PE_1월" xfId="738"/>
    <cellStyle name="per.style" xfId="739"/>
    <cellStyle name="Percen - Style5" xfId="740"/>
    <cellStyle name="Percent" xfId="741" builtinId="5"/>
    <cellStyle name="Percent (0)" xfId="742"/>
    <cellStyle name="Percent [0%]" xfId="4210"/>
    <cellStyle name="Percent [0]" xfId="743"/>
    <cellStyle name="Percent [00]" xfId="744"/>
    <cellStyle name="Percent [1]" xfId="745"/>
    <cellStyle name="Percent [1][]" xfId="746"/>
    <cellStyle name="Percent [1]_Canon CapIQ linked v1" xfId="747"/>
    <cellStyle name="Percent [2]" xfId="748"/>
    <cellStyle name="Percent 10" xfId="749"/>
    <cellStyle name="Percent 11" xfId="750"/>
    <cellStyle name="Percent 12" xfId="751"/>
    <cellStyle name="Percent 12 2" xfId="752"/>
    <cellStyle name="Percent 12 2 2" xfId="1457"/>
    <cellStyle name="Percent 12 2 3" xfId="1458"/>
    <cellStyle name="Percent 12 2 4" xfId="1459"/>
    <cellStyle name="Percent 12 2 5" xfId="1460"/>
    <cellStyle name="Percent 12 2 6" xfId="1461"/>
    <cellStyle name="Percent 12 3" xfId="1462"/>
    <cellStyle name="Percent 12 4" xfId="1463"/>
    <cellStyle name="Percent 12 5" xfId="1464"/>
    <cellStyle name="Percent 12 6" xfId="1465"/>
    <cellStyle name="Percent 12 7" xfId="1466"/>
    <cellStyle name="Percent 13" xfId="753"/>
    <cellStyle name="Percent 13 2" xfId="754"/>
    <cellStyle name="Percent 13 2 2" xfId="1467"/>
    <cellStyle name="Percent 13 2 3" xfId="1468"/>
    <cellStyle name="Percent 13 2 4" xfId="1469"/>
    <cellStyle name="Percent 13 2 5" xfId="1470"/>
    <cellStyle name="Percent 13 2 6" xfId="1471"/>
    <cellStyle name="Percent 13 3" xfId="1472"/>
    <cellStyle name="Percent 13 4" xfId="1473"/>
    <cellStyle name="Percent 13 5" xfId="1474"/>
    <cellStyle name="Percent 13 6" xfId="1475"/>
    <cellStyle name="Percent 13 7" xfId="1476"/>
    <cellStyle name="Percent 14" xfId="755"/>
    <cellStyle name="Percent 14 2" xfId="756"/>
    <cellStyle name="Percent 14 2 2" xfId="1477"/>
    <cellStyle name="Percent 14 2 3" xfId="1478"/>
    <cellStyle name="Percent 14 2 4" xfId="1479"/>
    <cellStyle name="Percent 14 2 5" xfId="1480"/>
    <cellStyle name="Percent 14 2 6" xfId="1481"/>
    <cellStyle name="Percent 14 3" xfId="1482"/>
    <cellStyle name="Percent 14 4" xfId="1483"/>
    <cellStyle name="Percent 14 5" xfId="1484"/>
    <cellStyle name="Percent 14 6" xfId="1485"/>
    <cellStyle name="Percent 14 7" xfId="1486"/>
    <cellStyle name="Percent 15" xfId="757"/>
    <cellStyle name="Percent 16" xfId="1487"/>
    <cellStyle name="Percent 17" xfId="1488"/>
    <cellStyle name="Percent 18" xfId="2190"/>
    <cellStyle name="Percent 19" xfId="2592"/>
    <cellStyle name="Percent 2" xfId="758"/>
    <cellStyle name="Percent 2 10" xfId="4172"/>
    <cellStyle name="Percent 2 2" xfId="759"/>
    <cellStyle name="Percent 2 2 2" xfId="760"/>
    <cellStyle name="Percent 2 3" xfId="761"/>
    <cellStyle name="Percent 2 4" xfId="762"/>
    <cellStyle name="Percent 2 5" xfId="763"/>
    <cellStyle name="Percent 2 6" xfId="764"/>
    <cellStyle name="Percent 2 7" xfId="765"/>
    <cellStyle name="Percent 2 8" xfId="766"/>
    <cellStyle name="Percent 2 9" xfId="767"/>
    <cellStyle name="Percent 20" xfId="2616"/>
    <cellStyle name="Percent 21" xfId="2627"/>
    <cellStyle name="Percent 22" xfId="4158"/>
    <cellStyle name="Percent 23" xfId="4161"/>
    <cellStyle name="Percent 24" xfId="4162"/>
    <cellStyle name="Percent 27" xfId="4213"/>
    <cellStyle name="Percent 3" xfId="768"/>
    <cellStyle name="Percent 3 2" xfId="769"/>
    <cellStyle name="Percent 3 3" xfId="770"/>
    <cellStyle name="Percent 3 4" xfId="771"/>
    <cellStyle name="Percent 3 5" xfId="772"/>
    <cellStyle name="Percent 3 6" xfId="773"/>
    <cellStyle name="Percent 3 6 2" xfId="1489"/>
    <cellStyle name="Percent 3 6 3" xfId="1490"/>
    <cellStyle name="Percent 3 6 4" xfId="1491"/>
    <cellStyle name="Percent 3 6 5" xfId="1492"/>
    <cellStyle name="Percent 3 6 6" xfId="1493"/>
    <cellStyle name="Percent 3 7" xfId="2584"/>
    <cellStyle name="Percent 3 8" xfId="4219"/>
    <cellStyle name="Percent 4" xfId="774"/>
    <cellStyle name="Percent 4 2" xfId="775"/>
    <cellStyle name="Percent 4 2 2" xfId="776"/>
    <cellStyle name="Percent 4 2 2 2" xfId="1494"/>
    <cellStyle name="Percent 4 2 2 3" xfId="1495"/>
    <cellStyle name="Percent 4 2 2 4" xfId="1496"/>
    <cellStyle name="Percent 4 2 2 5" xfId="1497"/>
    <cellStyle name="Percent 4 2 2 6" xfId="1498"/>
    <cellStyle name="Percent 4 2 3" xfId="1499"/>
    <cellStyle name="Percent 4 2 4" xfId="1500"/>
    <cellStyle name="Percent 4 2 5" xfId="1501"/>
    <cellStyle name="Percent 4 2 6" xfId="1502"/>
    <cellStyle name="Percent 4 2 7" xfId="1503"/>
    <cellStyle name="Percent 4 3" xfId="777"/>
    <cellStyle name="Percent 4 3 2" xfId="1504"/>
    <cellStyle name="Percent 4 3 3" xfId="1505"/>
    <cellStyle name="Percent 4 3 4" xfId="1506"/>
    <cellStyle name="Percent 4 3 5" xfId="1507"/>
    <cellStyle name="Percent 4 3 6" xfId="1508"/>
    <cellStyle name="Percent 5" xfId="778"/>
    <cellStyle name="Percent 5 2" xfId="4168"/>
    <cellStyle name="Percent 6" xfId="779"/>
    <cellStyle name="Percent 6 2" xfId="780"/>
    <cellStyle name="Percent 6 2 2" xfId="1509"/>
    <cellStyle name="Percent 6 2 3" xfId="1510"/>
    <cellStyle name="Percent 6 2 4" xfId="1511"/>
    <cellStyle name="Percent 6 2 5" xfId="1512"/>
    <cellStyle name="Percent 6 2 6" xfId="1513"/>
    <cellStyle name="Percent 6 3" xfId="1514"/>
    <cellStyle name="Percent 6 4" xfId="1515"/>
    <cellStyle name="Percent 6 5" xfId="1516"/>
    <cellStyle name="Percent 6 6" xfId="1517"/>
    <cellStyle name="Percent 6 7" xfId="1518"/>
    <cellStyle name="Percent 7" xfId="781"/>
    <cellStyle name="Percent 8" xfId="782"/>
    <cellStyle name="Percent 8 2" xfId="4182"/>
    <cellStyle name="Percent 9" xfId="783"/>
    <cellStyle name="Percent 9 2" xfId="4175"/>
    <cellStyle name="Percent Decimal" xfId="784"/>
    <cellStyle name="Percent Input" xfId="785"/>
    <cellStyle name="Percent*" xfId="786"/>
    <cellStyle name="Percent1" xfId="787"/>
    <cellStyle name="Percent2" xfId="788"/>
    <cellStyle name="PercentDash0" xfId="789"/>
    <cellStyle name="PercentSales" xfId="790"/>
    <cellStyle name="PercentText0" xfId="791"/>
    <cellStyle name="Periods" xfId="792"/>
    <cellStyle name="Porcentual 2" xfId="4146"/>
    <cellStyle name="PrePop Currency (0)" xfId="793"/>
    <cellStyle name="PrePop Currency (2)" xfId="794"/>
    <cellStyle name="PrePop Units (0)" xfId="795"/>
    <cellStyle name="PrePop Units (1)" xfId="796"/>
    <cellStyle name="PrePop Units (2)" xfId="797"/>
    <cellStyle name="Price" xfId="798"/>
    <cellStyle name="Product Title" xfId="799"/>
    <cellStyle name="Protected" xfId="800"/>
    <cellStyle name="PSChar" xfId="801"/>
    <cellStyle name="PSDate" xfId="802"/>
    <cellStyle name="PSDec" xfId="803"/>
    <cellStyle name="PSHeading" xfId="804"/>
    <cellStyle name="PSInt" xfId="805"/>
    <cellStyle name="PSSpacer" xfId="806"/>
    <cellStyle name="PwC" xfId="807"/>
    <cellStyle name="qbh_x0003__x000c_bh_x0017_&quot;blTT０_x0008__x0003__x0008_?)(일)" xfId="808"/>
    <cellStyle name="qbh_x0003__x000c_bh_x0017_&quot;blTT０_x0008__x0003__x0008_磚)(일)" xfId="809"/>
    <cellStyle name="ReadInData" xfId="810"/>
    <cellStyle name="Red font" xfId="811"/>
    <cellStyle name="regstoresfromspecstores" xfId="812"/>
    <cellStyle name="ReportNums" xfId="813"/>
    <cellStyle name="RevList" xfId="814"/>
    <cellStyle name="RISKbottomEdge" xfId="815"/>
    <cellStyle name="RISKnormLabel" xfId="816"/>
    <cellStyle name="Salomon Logo" xfId="817"/>
    <cellStyle name="SAM" xfId="818"/>
    <cellStyle name="SAPBEXaggData" xfId="819"/>
    <cellStyle name="SAPBEXaggDataEmph" xfId="820"/>
    <cellStyle name="SAPBEXaggItem" xfId="821"/>
    <cellStyle name="SAPBEXaggItemX" xfId="822"/>
    <cellStyle name="SAPBEXchaText" xfId="823"/>
    <cellStyle name="SAPBEXexcBad7" xfId="824"/>
    <cellStyle name="SAPBEXexcBad8" xfId="825"/>
    <cellStyle name="SAPBEXexcBad9" xfId="826"/>
    <cellStyle name="SAPBEXexcCritical4" xfId="827"/>
    <cellStyle name="SAPBEXexcCritical5" xfId="828"/>
    <cellStyle name="SAPBEXexcCritical6" xfId="829"/>
    <cellStyle name="SAPBEXexcGood1" xfId="830"/>
    <cellStyle name="SAPBEXexcGood2" xfId="831"/>
    <cellStyle name="SAPBEXexcGood3" xfId="832"/>
    <cellStyle name="SAPBEXfilterDrill" xfId="833"/>
    <cellStyle name="SAPBEXfilterItem" xfId="834"/>
    <cellStyle name="SAPBEXfilterText" xfId="835"/>
    <cellStyle name="SAPBEXformats" xfId="836"/>
    <cellStyle name="SAPBEXheaderItem" xfId="837"/>
    <cellStyle name="SAPBEXheaderText" xfId="838"/>
    <cellStyle name="SAPBEXHLevel0" xfId="839"/>
    <cellStyle name="SAPBEXHLevel0X" xfId="840"/>
    <cellStyle name="SAPBEXHLevel1" xfId="841"/>
    <cellStyle name="SAPBEXHLevel1X" xfId="842"/>
    <cellStyle name="SAPBEXHLevel2" xfId="843"/>
    <cellStyle name="SAPBEXHLevel2X" xfId="844"/>
    <cellStyle name="SAPBEXHLevel3" xfId="845"/>
    <cellStyle name="SAPBEXHLevel3X" xfId="846"/>
    <cellStyle name="SAPBEXresData" xfId="847"/>
    <cellStyle name="SAPBEXresDataEmph" xfId="848"/>
    <cellStyle name="SAPBEXresItem" xfId="849"/>
    <cellStyle name="SAPBEXresItemX" xfId="850"/>
    <cellStyle name="SAPBEXstdData" xfId="851"/>
    <cellStyle name="SAPBEXstdDataEmph" xfId="852"/>
    <cellStyle name="SAPBEXstdItem" xfId="853"/>
    <cellStyle name="SAPBEXstdItemX" xfId="854"/>
    <cellStyle name="SAPBEXtitle" xfId="855"/>
    <cellStyle name="SAPBEXundefined" xfId="856"/>
    <cellStyle name="sbt2" xfId="857"/>
    <cellStyle name="SectionHeaderNormal" xfId="858"/>
    <cellStyle name="SGD 2" xfId="859"/>
    <cellStyle name="SHADEDSTORES" xfId="860"/>
    <cellStyle name="Shares" xfId="861"/>
    <cellStyle name="sharesout" xfId="862"/>
    <cellStyle name="Sheetmult" xfId="863"/>
    <cellStyle name="ShOut" xfId="864"/>
    <cellStyle name="Shtmultx" xfId="865"/>
    <cellStyle name="Single Border" xfId="866"/>
    <cellStyle name="Single Border 2" xfId="867"/>
    <cellStyle name="Single Border 3" xfId="868"/>
    <cellStyle name="Single Border 4" xfId="869"/>
    <cellStyle name="Single Border 5" xfId="870"/>
    <cellStyle name="Single Border 6" xfId="871"/>
    <cellStyle name="Single Border_2009 Plan Projected Financials One Method" xfId="872"/>
    <cellStyle name="Single Bottom" xfId="873"/>
    <cellStyle name="Single Top" xfId="874"/>
    <cellStyle name="Single Top / Double Bottom" xfId="875"/>
    <cellStyle name="Single Top / Single Bottom" xfId="876"/>
    <cellStyle name="Size10Pt" xfId="877"/>
    <cellStyle name="Size12Pt" xfId="878"/>
    <cellStyle name="specstores" xfId="879"/>
    <cellStyle name="stage" xfId="880"/>
    <cellStyle name="Standard_1.1" xfId="881"/>
    <cellStyle name="Std Currency" xfId="882"/>
    <cellStyle name="Std Input" xfId="883"/>
    <cellStyle name="Std Number" xfId="884"/>
    <cellStyle name="Std Percent" xfId="885"/>
    <cellStyle name="Std Text" xfId="886"/>
    <cellStyle name="step" xfId="887"/>
    <cellStyle name="Strange" xfId="888"/>
    <cellStyle name="Strikethru" xfId="889"/>
    <cellStyle name="Style 1" xfId="890"/>
    <cellStyle name="Style 10" xfId="891"/>
    <cellStyle name="Style 11" xfId="892"/>
    <cellStyle name="Style 12" xfId="893"/>
    <cellStyle name="Style 13" xfId="894"/>
    <cellStyle name="Style 14" xfId="895"/>
    <cellStyle name="Style 15" xfId="896"/>
    <cellStyle name="Style 16" xfId="897"/>
    <cellStyle name="Style 17" xfId="898"/>
    <cellStyle name="Style 18" xfId="899"/>
    <cellStyle name="Style 19" xfId="900"/>
    <cellStyle name="Style 2" xfId="901"/>
    <cellStyle name="Style 20" xfId="902"/>
    <cellStyle name="Style 21" xfId="903"/>
    <cellStyle name="Style 22" xfId="904"/>
    <cellStyle name="Style 23" xfId="905"/>
    <cellStyle name="Style 24" xfId="906"/>
    <cellStyle name="Style 25" xfId="907"/>
    <cellStyle name="Style 26" xfId="908"/>
    <cellStyle name="Style 27" xfId="909"/>
    <cellStyle name="Style 28" xfId="910"/>
    <cellStyle name="Style 29" xfId="911"/>
    <cellStyle name="Style 3" xfId="912"/>
    <cellStyle name="Style 30" xfId="913"/>
    <cellStyle name="Style 31" xfId="914"/>
    <cellStyle name="Style 32" xfId="915"/>
    <cellStyle name="Style 33" xfId="916"/>
    <cellStyle name="Style 34" xfId="917"/>
    <cellStyle name="Style 35" xfId="918"/>
    <cellStyle name="Style 36" xfId="919"/>
    <cellStyle name="Style 37" xfId="920"/>
    <cellStyle name="Style 38" xfId="921"/>
    <cellStyle name="Style 39" xfId="922"/>
    <cellStyle name="Style 4" xfId="923"/>
    <cellStyle name="Style 40" xfId="924"/>
    <cellStyle name="Style 41" xfId="925"/>
    <cellStyle name="Style 42" xfId="926"/>
    <cellStyle name="Style 43" xfId="927"/>
    <cellStyle name="Style 44" xfId="928"/>
    <cellStyle name="Style 45" xfId="929"/>
    <cellStyle name="Style 46" xfId="930"/>
    <cellStyle name="Style 47" xfId="931"/>
    <cellStyle name="Style 48" xfId="932"/>
    <cellStyle name="Style 49" xfId="933"/>
    <cellStyle name="Style 5" xfId="934"/>
    <cellStyle name="Style 50" xfId="935"/>
    <cellStyle name="Style 51" xfId="936"/>
    <cellStyle name="Style 52" xfId="937"/>
    <cellStyle name="Style 53" xfId="938"/>
    <cellStyle name="Style 54" xfId="939"/>
    <cellStyle name="Style 6" xfId="940"/>
    <cellStyle name="Style 7" xfId="941"/>
    <cellStyle name="Style 71" xfId="942"/>
    <cellStyle name="Style 79" xfId="943"/>
    <cellStyle name="Style 8" xfId="944"/>
    <cellStyle name="Style 85" xfId="945"/>
    <cellStyle name="Style 9" xfId="946"/>
    <cellStyle name="Style 91" xfId="947"/>
    <cellStyle name="STYLE1" xfId="948"/>
    <cellStyle name="STYLE1 2" xfId="949"/>
    <cellStyle name="STYLE1 3" xfId="950"/>
    <cellStyle name="STYLE1 4" xfId="951"/>
    <cellStyle name="STYLE1 5" xfId="952"/>
    <cellStyle name="STYLE1 6" xfId="953"/>
    <cellStyle name="STYLE1 7" xfId="954"/>
    <cellStyle name="STYLE1_2009 Plan Projected Financials One Method" xfId="955"/>
    <cellStyle name="STYLE2" xfId="956"/>
    <cellStyle name="STYLE2 2" xfId="957"/>
    <cellStyle name="STYLE2 3" xfId="958"/>
    <cellStyle name="STYLE2 4" xfId="959"/>
    <cellStyle name="STYLE2 5" xfId="960"/>
    <cellStyle name="STYLE2 6" xfId="961"/>
    <cellStyle name="STYLE2 7" xfId="962"/>
    <cellStyle name="STYLE2_2009 Plan Projected Financials One Method" xfId="963"/>
    <cellStyle name="STYLE3" xfId="964"/>
    <cellStyle name="STYLE3 2" xfId="965"/>
    <cellStyle name="STYLE3 3" xfId="966"/>
    <cellStyle name="STYLE3 4" xfId="967"/>
    <cellStyle name="STYLE3 5" xfId="968"/>
    <cellStyle name="STYLE3 6" xfId="969"/>
    <cellStyle name="STYLE3 7" xfId="970"/>
    <cellStyle name="STYLE3_2009 Plan Projected Financials One Method" xfId="971"/>
    <cellStyle name="STYLE4" xfId="972"/>
    <cellStyle name="STYLE4 2" xfId="973"/>
    <cellStyle name="STYLE4 3" xfId="974"/>
    <cellStyle name="STYLE4 4" xfId="975"/>
    <cellStyle name="STYLE4 5" xfId="976"/>
    <cellStyle name="STYLE4 6" xfId="977"/>
    <cellStyle name="STYLE4 7" xfId="978"/>
    <cellStyle name="STYLE4_2009 Plan Projected Financials One Method" xfId="979"/>
    <cellStyle name="STYLE5" xfId="980"/>
    <cellStyle name="STYLE5 2" xfId="981"/>
    <cellStyle name="STYLE5 3" xfId="982"/>
    <cellStyle name="STYLE5 4" xfId="983"/>
    <cellStyle name="STYLE5 5" xfId="984"/>
    <cellStyle name="STYLE5 6" xfId="985"/>
    <cellStyle name="STYLE5 7" xfId="986"/>
    <cellStyle name="STYLE5_2009 Plan Projected Financials One Method" xfId="987"/>
    <cellStyle name="STYLE6" xfId="988"/>
    <cellStyle name="STYLE6 2" xfId="989"/>
    <cellStyle name="STYLE6 3" xfId="990"/>
    <cellStyle name="STYLE6 4" xfId="991"/>
    <cellStyle name="STYLE6 5" xfId="992"/>
    <cellStyle name="STYLE6 6" xfId="993"/>
    <cellStyle name="STYLE6 7" xfId="994"/>
    <cellStyle name="STYLE6_2009 Plan Projected Financials One Method" xfId="995"/>
    <cellStyle name="STYLE7" xfId="996"/>
    <cellStyle name="STYLE7 2" xfId="997"/>
    <cellStyle name="STYLE7 3" xfId="998"/>
    <cellStyle name="STYLE7 4" xfId="999"/>
    <cellStyle name="STYLE7 5" xfId="1000"/>
    <cellStyle name="STYLE7 6" xfId="1001"/>
    <cellStyle name="STYLE7_2009 Plan Projected Financials One Method" xfId="1002"/>
    <cellStyle name="subhead" xfId="1003"/>
    <cellStyle name="Sub-Heading" xfId="1004"/>
    <cellStyle name="Subscribers" xfId="1005"/>
    <cellStyle name="SubScript" xfId="1006"/>
    <cellStyle name="subt1" xfId="1007"/>
    <cellStyle name="Subtotal" xfId="1008"/>
    <cellStyle name="SuperScript" xfId="1009"/>
    <cellStyle name="T０_x0008__x0003__x0008_?)(일)" xfId="1010"/>
    <cellStyle name="T０_x0008__x0003__x0008_磚)(일)" xfId="1011"/>
    <cellStyle name="Table" xfId="1012"/>
    <cellStyle name="Table Head" xfId="1013"/>
    <cellStyle name="Table Head Aligned" xfId="1014"/>
    <cellStyle name="Table Head Blue" xfId="1015"/>
    <cellStyle name="Table Head Green" xfId="1016"/>
    <cellStyle name="Table Head_Val_Sum_Graph" xfId="1017"/>
    <cellStyle name="Table Header" xfId="4180"/>
    <cellStyle name="Table Text" xfId="1018"/>
    <cellStyle name="Table Title" xfId="1019"/>
    <cellStyle name="Table Units" xfId="1020"/>
    <cellStyle name="Table_Canon CapIQ linked v1" xfId="1021"/>
    <cellStyle name="Test [green]" xfId="1022"/>
    <cellStyle name="Text" xfId="1023"/>
    <cellStyle name="Text 1" xfId="1024"/>
    <cellStyle name="Text Head 1" xfId="1025"/>
    <cellStyle name="Text Indent A" xfId="1026"/>
    <cellStyle name="Text Indent B" xfId="1027"/>
    <cellStyle name="Text Indent C" xfId="1028"/>
    <cellStyle name="TextBold" xfId="1029"/>
    <cellStyle name="TextDys0" xfId="1030"/>
    <cellStyle name="TextDys1" xfId="1031"/>
    <cellStyle name="TextItalic" xfId="1032"/>
    <cellStyle name="TextNormal" xfId="1033"/>
    <cellStyle name="TextNormal 2" xfId="1155"/>
    <cellStyle name="TextNormal 3" xfId="2581"/>
    <cellStyle name="TextNormal 4" xfId="2612"/>
    <cellStyle name="TextYrs0" xfId="1034"/>
    <cellStyle name="TextYrs1" xfId="1035"/>
    <cellStyle name="TFCF" xfId="1036"/>
    <cellStyle name="thenums" xfId="1037"/>
    <cellStyle name="Tickmark" xfId="1038"/>
    <cellStyle name="Title" xfId="1039" builtinId="15" customBuiltin="1"/>
    <cellStyle name="Title - Style1" xfId="1040"/>
    <cellStyle name="TitleII" xfId="1041"/>
    <cellStyle name="TitleNormal" xfId="1042"/>
    <cellStyle name="TopCaption" xfId="1043"/>
    <cellStyle name="Total" xfId="1044" builtinId="25" customBuiltin="1"/>
    <cellStyle name="Total Bold" xfId="1045"/>
    <cellStyle name="Tusental (0)_Övrigt" xfId="1046"/>
    <cellStyle name="ubordinated Debt" xfId="1047"/>
    <cellStyle name="UI Background" xfId="1048"/>
    <cellStyle name="UIScreenText" xfId="1049"/>
    <cellStyle name="underline" xfId="1050"/>
    <cellStyle name="Unprotect" xfId="1051"/>
    <cellStyle name="Validation" xfId="1052"/>
    <cellStyle name="Valuation" xfId="1053"/>
    <cellStyle name="Valuta (0)_Övrigt" xfId="1054"/>
    <cellStyle name="Valuta [0]_NEGS" xfId="1055"/>
    <cellStyle name="Valuta_NEGS" xfId="1056"/>
    <cellStyle name="Variables" xfId="1057"/>
    <cellStyle name="W?rung [0]_laroux" xfId="1058"/>
    <cellStyle name="W?rung_laroux" xfId="1059"/>
    <cellStyle name="Währung [0]_Central Install 6-up" xfId="1060"/>
    <cellStyle name="Währung_Central Install 6-up" xfId="1061"/>
    <cellStyle name="Warning Text" xfId="1062" builtinId="11" customBuiltin="1"/>
    <cellStyle name="White" xfId="1063"/>
    <cellStyle name="WhiteCells" xfId="1064"/>
    <cellStyle name="WingDing" xfId="1065"/>
    <cellStyle name="Wrap" xfId="1066"/>
    <cellStyle name="WrappedBold" xfId="1067"/>
    <cellStyle name="x" xfId="1068"/>
    <cellStyle name="XL3 Blue" xfId="1069"/>
    <cellStyle name="XL3 Green" xfId="1070"/>
    <cellStyle name="XL3 Orange" xfId="1071"/>
    <cellStyle name="XL3 Red" xfId="1072"/>
    <cellStyle name="XL3 Yellow" xfId="1073"/>
    <cellStyle name="xstyle" xfId="1074"/>
    <cellStyle name="Year" xfId="1075"/>
    <cellStyle name="-_x000a__x0002__x0002_?_x000a__x0012__x0002_z-_x000a_&quot;_x0002_?_x000a_2_x0002_?_x000a_B_x0002_?y [0]_laroux_2_12~3SO2" xfId="1152"/>
    <cellStyle name="값1" xfId="1076"/>
    <cellStyle name="값2" xfId="1077"/>
    <cellStyle name="고정소숫점" xfId="1078"/>
    <cellStyle name="고정출력1" xfId="1079"/>
    <cellStyle name="고정출력2" xfId="1080"/>
    <cellStyle name="괄(계정)" xfId="1081"/>
    <cellStyle name="금액" xfId="1082"/>
    <cellStyle name="기본" xfId="1083"/>
    <cellStyle name="날짜" xfId="1084"/>
    <cellStyle name="달러" xfId="1085"/>
    <cellStyle name="뒤에 오는 하이퍼링크" xfId="1086"/>
    <cellStyle name="똿떓죶Ø괻 [0.00]_NT Server " xfId="1087"/>
    <cellStyle name="똿떓죶Ø괻_NT Server " xfId="1088"/>
    <cellStyle name="똿뗦먛귟 [0.00]_PRODUCT DETAIL Q1" xfId="1089"/>
    <cellStyle name="똿뗦먛귟_PRODUCT DETAIL Q1" xfId="1090"/>
    <cellStyle name="묮뎋 [0.00]_NT Server " xfId="1091"/>
    <cellStyle name="묮뎋_NT Server " xfId="1092"/>
    <cellStyle name="믅됞 [0.00]_laroux" xfId="1093"/>
    <cellStyle name="믅됞_laroux" xfId="1094"/>
    <cellStyle name="미정" xfId="1095"/>
    <cellStyle name="백" xfId="1096"/>
    <cellStyle name="보고서" xfId="1097"/>
    <cellStyle name="뷭?_BOOKSHIP" xfId="1098"/>
    <cellStyle name="사원명무 표준" xfId="1099"/>
    <cellStyle name="새귑[0]_롤痰삠悧 " xfId="1100"/>
    <cellStyle name="새귑_롤痰삠悧 " xfId="1101"/>
    <cellStyle name="숫자(R)" xfId="1102"/>
    <cellStyle name="안건회계법인" xfId="1103"/>
    <cellStyle name="월당월 (2)" xfId="1104"/>
    <cellStyle name="일반" xfId="1105"/>
    <cellStyle name="자리수" xfId="1106"/>
    <cellStyle name="자리수0" xfId="1107"/>
    <cellStyle name="제목1" xfId="1108"/>
    <cellStyle name="좋은양식" xfId="1109"/>
    <cellStyle name="지정되지 않음" xfId="1112"/>
    <cellStyle name="출 (한장)" xfId="1113"/>
    <cellStyle name="콤" xfId="1115"/>
    <cellStyle name="콤냡?&lt;_x000f_$??:_x0009_`1_1" xfId="1116"/>
    <cellStyle name="콤마 [" xfId="1117"/>
    <cellStyle name="콤마 [0]_  종  합  " xfId="1118"/>
    <cellStyle name="콤마 [2]" xfId="1119"/>
    <cellStyle name="콤마_  종  합  " xfId="1120"/>
    <cellStyle name="통" xfId="1132"/>
    <cellStyle name="통화 [" xfId="1133"/>
    <cellStyle name="퍼센트" xfId="1134"/>
    <cellStyle name="표" xfId="1135"/>
    <cellStyle name="표10" xfId="1136"/>
    <cellStyle name="표13" xfId="1137"/>
    <cellStyle name="표준_BS(2006)" xfId="1138"/>
    <cellStyle name="합계1" xfId="1139"/>
    <cellStyle name="합산" xfId="1140"/>
    <cellStyle name="화폐기호" xfId="1141"/>
    <cellStyle name="화폐기호0" xfId="1142"/>
    <cellStyle name="一般_300mm Status Matrix" xfId="1111"/>
    <cellStyle name="千分位_Book16" xfId="1114"/>
    <cellStyle name="咬訌裝?INCOM1" xfId="1121"/>
    <cellStyle name="咬訌裝?INCOM10" xfId="1122"/>
    <cellStyle name="咬訌裝?INCOM2" xfId="1123"/>
    <cellStyle name="咬訌裝?INCOM3" xfId="1124"/>
    <cellStyle name="咬訌裝?INCOM4" xfId="1125"/>
    <cellStyle name="咬訌裝?INCOM5" xfId="1126"/>
    <cellStyle name="咬訌裝?INCOM6" xfId="1127"/>
    <cellStyle name="咬訌裝?INCOM7" xfId="1128"/>
    <cellStyle name="咬訌裝?INCOM8" xfId="1129"/>
    <cellStyle name="咬訌裝?INCOM9" xfId="1130"/>
    <cellStyle name="咬訌裝?PRIB11" xfId="1131"/>
    <cellStyle name="常规_BAL(2001)" xfId="1143"/>
    <cellStyle name="桁区切り [0.00]_2000-OIH" xfId="1144"/>
    <cellStyle name="桁区切り_2000-OIH" xfId="1145"/>
    <cellStyle name="標準_2000-OIH" xfId="1146"/>
    <cellStyle name="訶택?12월당월" xfId="1147"/>
    <cellStyle name="訶택?부문별" xfId="1148"/>
    <cellStyle name="通貨 [0.00]_2000-OIH" xfId="1149"/>
    <cellStyle name="通貨_2000-OIH" xfId="1150"/>
    <cellStyle name="隨後的超連結" xfId="1151"/>
  </cellStyles>
  <dxfs count="5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colors>
    <mruColors>
      <color rgb="FF0000FF"/>
      <color rgb="FF555759"/>
      <color rgb="FF808080"/>
      <color rgb="FF800080"/>
      <color rgb="FFA15F00"/>
      <color rgb="FF009900"/>
      <color rgb="FFFF99FF"/>
      <color rgb="FF03AD1F"/>
      <color rgb="FF03D759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NCI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00FF"/>
  </sheetPr>
  <dimension ref="B3:Z43"/>
  <sheetViews>
    <sheetView showGridLines="0" zoomScale="80" zoomScaleNormal="80" zoomScaleSheetLayoutView="75" workbookViewId="0">
      <selection activeCell="G9" sqref="G9"/>
    </sheetView>
  </sheetViews>
  <sheetFormatPr defaultRowHeight="16.5" customHeight="1"/>
  <cols>
    <col min="1" max="1" width="3.5" style="25" customWidth="1"/>
    <col min="2" max="2" width="2.875" style="25" customWidth="1"/>
    <col min="3" max="3" width="9.125" style="25" bestFit="1" customWidth="1"/>
    <col min="4" max="4" width="9.625" style="25" bestFit="1" customWidth="1"/>
    <col min="5" max="5" width="27.25" style="25" customWidth="1"/>
    <col min="6" max="6" width="8" style="25" customWidth="1"/>
    <col min="7" max="7" width="10.75" style="25" bestFit="1" customWidth="1"/>
    <col min="8" max="8" width="13.375" style="25" customWidth="1"/>
    <col min="9" max="9" width="10.25" style="25" bestFit="1" customWidth="1"/>
    <col min="10" max="10" width="13.5" style="25" customWidth="1"/>
    <col min="11" max="11" width="13.375" style="25" customWidth="1"/>
    <col min="12" max="12" width="18.375" style="25" customWidth="1"/>
    <col min="13" max="13" width="6.375" style="25" customWidth="1"/>
    <col min="14" max="14" width="4" style="25" customWidth="1"/>
    <col min="15" max="17" width="9" style="25"/>
    <col min="18" max="18" width="0.875" style="25" customWidth="1"/>
    <col min="19" max="19" width="3.125" style="25" customWidth="1"/>
    <col min="20" max="20" width="14.25" style="25" customWidth="1"/>
    <col min="21" max="21" width="12" style="25" customWidth="1"/>
    <col min="22" max="22" width="13.125" style="25" customWidth="1"/>
    <col min="23" max="16384" width="9" style="25"/>
  </cols>
  <sheetData>
    <row r="3" spans="2:19" ht="16.5" customHeight="1">
      <c r="B3" s="24" t="s">
        <v>223</v>
      </c>
      <c r="G3" s="170" t="s">
        <v>104</v>
      </c>
      <c r="H3" s="171"/>
      <c r="I3" s="133"/>
      <c r="J3" s="133"/>
      <c r="K3" s="133"/>
      <c r="L3" s="134"/>
    </row>
    <row r="4" spans="2:19" ht="16.5" customHeight="1">
      <c r="B4" s="24" t="s">
        <v>105</v>
      </c>
      <c r="G4" s="172" t="s">
        <v>232</v>
      </c>
      <c r="H4" s="173"/>
      <c r="I4" s="135"/>
      <c r="J4" s="135"/>
      <c r="K4" s="135"/>
      <c r="L4" s="136"/>
    </row>
    <row r="5" spans="2:19" ht="16.5" customHeight="1">
      <c r="B5" s="24" t="s">
        <v>21</v>
      </c>
      <c r="G5" s="174">
        <v>43921</v>
      </c>
      <c r="H5" s="175"/>
      <c r="I5" s="137"/>
      <c r="J5" s="137"/>
      <c r="K5" s="137"/>
      <c r="L5" s="138"/>
    </row>
    <row r="6" spans="2:19" ht="16.5" customHeight="1">
      <c r="B6" s="24" t="s">
        <v>39</v>
      </c>
      <c r="G6" s="176">
        <f>YEARFRAC(G5, G9)</f>
        <v>0.75</v>
      </c>
      <c r="H6" s="177"/>
      <c r="I6" s="139"/>
      <c r="J6" s="139"/>
      <c r="K6" s="139"/>
      <c r="L6" s="140"/>
    </row>
    <row r="7" spans="2:19" ht="16.5" customHeight="1">
      <c r="B7" s="24" t="s">
        <v>141</v>
      </c>
      <c r="G7" s="174">
        <v>43830</v>
      </c>
      <c r="H7" s="175"/>
      <c r="I7" s="137"/>
      <c r="J7" s="137"/>
      <c r="K7" s="137"/>
      <c r="L7" s="138"/>
    </row>
    <row r="8" spans="2:19" ht="16.5" customHeight="1">
      <c r="B8" s="24" t="s">
        <v>142</v>
      </c>
      <c r="G8" s="178">
        <v>43921</v>
      </c>
      <c r="H8" s="179"/>
      <c r="I8" s="141"/>
      <c r="J8" s="141"/>
      <c r="K8" s="141"/>
      <c r="L8" s="142"/>
      <c r="S8" s="34"/>
    </row>
    <row r="9" spans="2:19" ht="16.5" customHeight="1">
      <c r="B9" s="24" t="s">
        <v>23</v>
      </c>
      <c r="G9" s="174">
        <v>44196</v>
      </c>
      <c r="H9" s="175"/>
      <c r="I9" s="143"/>
      <c r="J9" s="143"/>
      <c r="K9" s="143"/>
      <c r="L9" s="144"/>
    </row>
    <row r="10" spans="2:19" ht="16.5" customHeight="1">
      <c r="B10" s="24" t="s">
        <v>9</v>
      </c>
      <c r="G10" s="180">
        <v>0.21</v>
      </c>
      <c r="H10" s="181" t="s">
        <v>5</v>
      </c>
      <c r="I10" s="145"/>
      <c r="J10" s="145"/>
      <c r="K10" s="145"/>
      <c r="L10" s="146"/>
      <c r="O10" s="26"/>
    </row>
    <row r="11" spans="2:19" ht="16.5" customHeight="1">
      <c r="B11" s="24" t="s">
        <v>10</v>
      </c>
      <c r="G11" s="180">
        <v>6.5000000000000002E-2</v>
      </c>
      <c r="H11" s="181"/>
      <c r="I11" s="145"/>
      <c r="J11" s="145"/>
      <c r="K11" s="145"/>
      <c r="L11" s="146"/>
      <c r="O11" s="26"/>
    </row>
    <row r="12" spans="2:19" ht="16.5" customHeight="1">
      <c r="B12" s="24" t="s">
        <v>0</v>
      </c>
      <c r="G12" s="590">
        <f>G10+((1-G10)*G11)</f>
        <v>0.26134999999999997</v>
      </c>
      <c r="H12" s="181"/>
      <c r="I12" s="145"/>
      <c r="J12" s="145"/>
      <c r="K12" s="145"/>
      <c r="L12" s="146"/>
      <c r="M12" s="165"/>
      <c r="O12" s="26"/>
    </row>
    <row r="13" spans="2:19" ht="16.5" customHeight="1">
      <c r="B13" s="24" t="s">
        <v>85</v>
      </c>
      <c r="G13" s="182">
        <v>3.5000000000000003E-2</v>
      </c>
      <c r="H13" s="183"/>
      <c r="I13" s="147"/>
      <c r="J13" s="147"/>
      <c r="K13" s="147"/>
      <c r="L13" s="148"/>
      <c r="M13" s="165"/>
      <c r="O13" s="26"/>
    </row>
    <row r="14" spans="2:19" ht="16.5" customHeight="1">
      <c r="B14" s="24" t="s">
        <v>99</v>
      </c>
      <c r="G14" s="184">
        <v>2</v>
      </c>
      <c r="H14" s="185" t="s">
        <v>137</v>
      </c>
      <c r="I14" s="149"/>
      <c r="J14" s="149"/>
      <c r="K14" s="149"/>
      <c r="L14" s="150"/>
    </row>
    <row r="15" spans="2:19" ht="16.5" customHeight="1">
      <c r="B15" s="5" t="s">
        <v>222</v>
      </c>
      <c r="C15" s="32"/>
      <c r="D15" s="32"/>
      <c r="E15" s="32"/>
      <c r="G15" s="187">
        <v>0.05</v>
      </c>
      <c r="H15" s="186"/>
      <c r="I15" s="151"/>
      <c r="J15" s="151"/>
      <c r="K15" s="151"/>
      <c r="L15" s="150"/>
      <c r="M15" s="152"/>
    </row>
    <row r="16" spans="2:19" ht="16.5" customHeight="1">
      <c r="B16" s="5" t="s">
        <v>284</v>
      </c>
      <c r="C16" s="32"/>
      <c r="D16" s="32"/>
      <c r="E16" s="32"/>
      <c r="G16" s="187">
        <v>0.9</v>
      </c>
      <c r="H16" s="186"/>
      <c r="I16" s="151"/>
      <c r="J16" s="151"/>
      <c r="K16" s="151"/>
      <c r="L16" s="150"/>
      <c r="M16" s="152"/>
    </row>
    <row r="17" spans="2:26" ht="16.5" customHeight="1">
      <c r="B17" s="5" t="s">
        <v>285</v>
      </c>
      <c r="C17" s="32"/>
      <c r="D17" s="32"/>
      <c r="E17" s="32"/>
      <c r="G17" s="187">
        <v>1.4999999999999999E-2</v>
      </c>
      <c r="H17" s="186"/>
      <c r="I17" s="151"/>
      <c r="J17" s="151"/>
      <c r="K17" s="151"/>
      <c r="L17" s="150"/>
      <c r="M17" s="152"/>
    </row>
    <row r="18" spans="2:26" ht="16.5" customHeight="1">
      <c r="B18" s="5" t="s">
        <v>90</v>
      </c>
      <c r="C18" s="32"/>
      <c r="D18" s="32"/>
      <c r="E18" s="32"/>
      <c r="G18" s="187">
        <v>0.15</v>
      </c>
      <c r="H18" s="186"/>
      <c r="I18" s="151"/>
      <c r="J18" s="151"/>
      <c r="K18" s="151"/>
      <c r="L18" s="150"/>
      <c r="M18" s="152"/>
    </row>
    <row r="19" spans="2:26" ht="16.5" customHeight="1">
      <c r="B19" s="5" t="s">
        <v>208</v>
      </c>
      <c r="C19" s="32"/>
      <c r="D19" s="32"/>
      <c r="E19" s="32"/>
      <c r="G19" s="187">
        <v>0.03</v>
      </c>
      <c r="H19" s="188"/>
      <c r="I19" s="153"/>
      <c r="J19" s="153"/>
      <c r="K19" s="153"/>
      <c r="L19" s="150"/>
      <c r="M19" s="152"/>
    </row>
    <row r="20" spans="2:26" ht="16.5" customHeight="1">
      <c r="B20" s="5" t="s">
        <v>209</v>
      </c>
      <c r="C20" s="32"/>
      <c r="D20" s="32"/>
      <c r="E20" s="32"/>
      <c r="G20" s="187">
        <v>1.2200000000000001E-2</v>
      </c>
      <c r="H20" s="186"/>
      <c r="I20" s="151"/>
      <c r="J20" s="151"/>
      <c r="K20" s="151"/>
      <c r="L20" s="154"/>
      <c r="M20" s="152"/>
    </row>
    <row r="21" spans="2:26" s="30" customFormat="1" ht="16.5" customHeight="1"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2:26" ht="16.5" customHeight="1">
      <c r="N22" s="28"/>
      <c r="O22" s="28"/>
      <c r="P22" s="28"/>
      <c r="Q22" s="28"/>
      <c r="R22" s="28"/>
      <c r="S22" s="169"/>
      <c r="T22" s="580"/>
      <c r="U22" s="580"/>
      <c r="V22" s="580"/>
      <c r="W22" s="580"/>
      <c r="X22" s="28"/>
      <c r="Y22" s="28"/>
      <c r="Z22" s="28"/>
    </row>
    <row r="23" spans="2:26" ht="50.25" customHeight="1">
      <c r="N23" s="26"/>
      <c r="O23" s="164"/>
      <c r="P23" s="164"/>
      <c r="Q23" s="164"/>
      <c r="R23" s="164"/>
      <c r="S23" s="26"/>
      <c r="T23" s="20"/>
      <c r="U23" s="166"/>
      <c r="V23" s="166"/>
      <c r="W23" s="166"/>
    </row>
    <row r="24" spans="2:26" ht="16.5" customHeight="1">
      <c r="N24" s="26"/>
      <c r="O24" s="3"/>
      <c r="P24" s="4"/>
      <c r="Q24" s="161"/>
      <c r="R24" s="161"/>
      <c r="S24" s="12"/>
      <c r="T24" s="26"/>
      <c r="U24" s="162"/>
      <c r="V24" s="162"/>
      <c r="W24" s="167"/>
    </row>
    <row r="25" spans="2:26" ht="16.5" customHeight="1">
      <c r="N25" s="26"/>
      <c r="O25" s="3"/>
      <c r="P25" s="4"/>
      <c r="Q25" s="161"/>
      <c r="R25" s="161"/>
      <c r="S25" s="12"/>
      <c r="T25" s="26"/>
      <c r="U25" s="162"/>
      <c r="V25" s="162"/>
      <c r="W25" s="168"/>
    </row>
    <row r="26" spans="2:26" ht="16.5" customHeight="1">
      <c r="N26" s="26"/>
      <c r="O26" s="3"/>
      <c r="P26" s="4"/>
      <c r="Q26" s="161"/>
      <c r="R26" s="161"/>
      <c r="S26" s="12"/>
      <c r="T26" s="26"/>
      <c r="U26" s="162"/>
      <c r="V26" s="162"/>
      <c r="W26" s="168"/>
    </row>
    <row r="27" spans="2:26" ht="16.5" customHeight="1">
      <c r="N27" s="26"/>
      <c r="O27" s="3"/>
      <c r="P27" s="4"/>
      <c r="Q27" s="161"/>
      <c r="R27" s="161"/>
      <c r="S27" s="12"/>
      <c r="T27" s="26"/>
      <c r="U27" s="162"/>
      <c r="V27" s="162"/>
      <c r="W27" s="167"/>
    </row>
    <row r="28" spans="2:26" ht="16.5" customHeight="1">
      <c r="N28" s="26"/>
      <c r="O28" s="3"/>
      <c r="P28" s="4"/>
      <c r="Q28" s="161"/>
      <c r="R28" s="161"/>
      <c r="S28" s="12"/>
      <c r="T28" s="163"/>
      <c r="U28" s="162"/>
      <c r="V28" s="162"/>
      <c r="W28" s="168"/>
    </row>
    <row r="29" spans="2:26" ht="16.5" customHeight="1">
      <c r="N29" s="26"/>
      <c r="O29" s="3"/>
      <c r="P29" s="4"/>
      <c r="Q29" s="161"/>
      <c r="R29" s="161"/>
      <c r="S29" s="12"/>
      <c r="T29" s="163"/>
      <c r="U29" s="162"/>
      <c r="V29" s="162"/>
      <c r="W29" s="168"/>
      <c r="X29" s="581"/>
    </row>
    <row r="30" spans="2:26" ht="16.5" customHeight="1">
      <c r="N30" s="26"/>
      <c r="O30" s="3"/>
      <c r="P30" s="4"/>
      <c r="Q30" s="161"/>
      <c r="R30" s="161"/>
      <c r="S30" s="12"/>
      <c r="T30" s="163"/>
      <c r="U30" s="162"/>
      <c r="V30" s="162"/>
      <c r="W30" s="168"/>
      <c r="X30" s="581"/>
    </row>
    <row r="31" spans="2:26" ht="16.5" customHeight="1">
      <c r="N31" s="26"/>
      <c r="O31" s="3"/>
      <c r="P31" s="4"/>
      <c r="Q31" s="161"/>
      <c r="R31" s="161"/>
      <c r="S31" s="12"/>
      <c r="T31" s="163"/>
      <c r="U31" s="162"/>
      <c r="V31" s="162"/>
      <c r="W31" s="168"/>
      <c r="X31" s="581"/>
    </row>
    <row r="32" spans="2:26" ht="16.5" customHeight="1">
      <c r="N32" s="26"/>
      <c r="O32" s="3"/>
      <c r="P32" s="4"/>
      <c r="Q32" s="161"/>
      <c r="R32" s="161"/>
      <c r="S32" s="12"/>
      <c r="T32" s="163"/>
      <c r="U32" s="162"/>
      <c r="V32" s="162"/>
      <c r="W32" s="168"/>
      <c r="X32" s="581"/>
    </row>
    <row r="33" spans="14:24" ht="16.5" customHeight="1">
      <c r="N33" s="26"/>
      <c r="O33" s="3"/>
      <c r="P33" s="4"/>
      <c r="Q33" s="161"/>
      <c r="R33" s="161"/>
      <c r="S33" s="12"/>
      <c r="T33" s="163"/>
      <c r="U33" s="162"/>
      <c r="V33" s="162"/>
      <c r="W33" s="168"/>
      <c r="X33" s="581"/>
    </row>
    <row r="34" spans="14:24" ht="16.5" customHeight="1">
      <c r="N34" s="26"/>
      <c r="O34" s="3"/>
      <c r="P34" s="4"/>
      <c r="Q34" s="161"/>
      <c r="R34" s="161"/>
      <c r="S34" s="12"/>
      <c r="T34" s="163"/>
      <c r="U34" s="162"/>
      <c r="V34" s="162"/>
      <c r="W34" s="168"/>
      <c r="X34" s="581"/>
    </row>
    <row r="35" spans="14:24" ht="16.5" customHeight="1">
      <c r="N35" s="26"/>
      <c r="O35" s="26"/>
      <c r="P35" s="26"/>
      <c r="Q35" s="26"/>
      <c r="R35" s="26"/>
      <c r="S35" s="12"/>
      <c r="T35" s="163"/>
      <c r="U35" s="162"/>
      <c r="V35" s="162"/>
      <c r="W35" s="168"/>
      <c r="X35" s="581"/>
    </row>
    <row r="36" spans="14:24" ht="16.5" customHeight="1">
      <c r="N36" s="26"/>
      <c r="O36" s="26"/>
      <c r="P36" s="26"/>
      <c r="Q36" s="26"/>
      <c r="R36" s="26"/>
      <c r="S36" s="12"/>
      <c r="T36" s="163"/>
      <c r="U36" s="162"/>
      <c r="V36" s="162"/>
      <c r="W36" s="168"/>
      <c r="X36" s="581"/>
    </row>
    <row r="37" spans="14:24" ht="16.5" customHeight="1">
      <c r="N37" s="26"/>
      <c r="O37" s="26"/>
      <c r="P37" s="26"/>
      <c r="Q37" s="26"/>
      <c r="R37" s="26"/>
      <c r="S37" s="12"/>
      <c r="T37" s="26"/>
      <c r="U37" s="162"/>
      <c r="V37" s="162"/>
      <c r="W37" s="168"/>
      <c r="X37" s="581"/>
    </row>
    <row r="38" spans="14:24" ht="16.5" customHeight="1">
      <c r="N38" s="26"/>
      <c r="O38" s="26"/>
      <c r="P38" s="26"/>
      <c r="Q38" s="26"/>
      <c r="R38" s="26"/>
      <c r="S38" s="12"/>
      <c r="T38" s="26"/>
      <c r="U38" s="162"/>
      <c r="V38" s="162"/>
      <c r="W38" s="168"/>
      <c r="X38" s="581"/>
    </row>
    <row r="39" spans="14:24" ht="16.5" customHeight="1">
      <c r="N39" s="26"/>
      <c r="O39" s="26"/>
      <c r="P39" s="26"/>
      <c r="Q39" s="26"/>
      <c r="R39" s="26"/>
      <c r="S39" s="12"/>
      <c r="T39" s="26"/>
      <c r="U39" s="162"/>
      <c r="V39" s="162"/>
      <c r="W39" s="168"/>
    </row>
    <row r="40" spans="14:24" ht="16.5" customHeight="1">
      <c r="N40" s="26"/>
      <c r="O40" s="26"/>
      <c r="P40" s="26"/>
      <c r="Q40" s="26"/>
      <c r="R40" s="26"/>
      <c r="S40" s="12"/>
      <c r="T40" s="26"/>
      <c r="U40" s="162"/>
      <c r="V40" s="162"/>
      <c r="W40" s="168"/>
    </row>
    <row r="41" spans="14:24" ht="16.5" customHeight="1">
      <c r="N41" s="26"/>
      <c r="O41" s="26"/>
      <c r="P41" s="26"/>
      <c r="Q41" s="26"/>
      <c r="R41" s="26"/>
      <c r="S41" s="12"/>
      <c r="T41" s="26"/>
      <c r="U41" s="162"/>
      <c r="V41" s="162"/>
      <c r="W41" s="168"/>
    </row>
    <row r="42" spans="14:24" ht="16.5" customHeight="1">
      <c r="N42" s="26"/>
      <c r="O42" s="26"/>
      <c r="P42" s="26"/>
      <c r="Q42" s="26"/>
      <c r="R42" s="26"/>
      <c r="S42" s="12"/>
      <c r="T42" s="26"/>
      <c r="U42" s="162"/>
      <c r="V42" s="162"/>
      <c r="W42" s="168"/>
    </row>
    <row r="43" spans="14:24" ht="16.5" customHeight="1">
      <c r="N43" s="26"/>
      <c r="O43" s="26"/>
      <c r="P43" s="26"/>
      <c r="Q43" s="26"/>
      <c r="R43" s="26"/>
      <c r="S43" s="12"/>
      <c r="T43" s="26"/>
      <c r="U43" s="26"/>
      <c r="V43" s="26"/>
      <c r="W43" s="168"/>
    </row>
  </sheetData>
  <sortState ref="H41:H50">
    <sortCondition ref="H41"/>
  </sortState>
  <mergeCells count="2">
    <mergeCell ref="T22:W22"/>
    <mergeCell ref="X29:X38"/>
  </mergeCells>
  <phoneticPr fontId="11" type="noConversion"/>
  <conditionalFormatting sqref="G7:L8">
    <cfRule type="cellIs" dxfId="4" priority="3" stopIfTrue="1" operator="greaterThan">
      <formula>$G$5</formula>
    </cfRule>
  </conditionalFormatting>
  <pageMargins left="0.75" right="0.75" top="1" bottom="1" header="0.5" footer="0.5"/>
  <pageSetup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00FF"/>
  </sheetPr>
  <dimension ref="A2:H26"/>
  <sheetViews>
    <sheetView view="pageBreakPreview" zoomScale="75" zoomScaleNormal="100" zoomScaleSheetLayoutView="75" workbookViewId="0">
      <selection activeCell="A7" sqref="A7"/>
    </sheetView>
  </sheetViews>
  <sheetFormatPr defaultRowHeight="16.5" customHeight="1"/>
  <cols>
    <col min="1" max="1" width="3.5" style="25" customWidth="1"/>
    <col min="2" max="2" width="47.375" style="25" customWidth="1"/>
    <col min="3" max="3" width="49.25" style="25" bestFit="1" customWidth="1"/>
    <col min="4" max="5" width="9" style="25"/>
    <col min="6" max="6" width="13.5" style="25" bestFit="1" customWidth="1"/>
    <col min="7" max="7" width="3.5" style="25" customWidth="1"/>
    <col min="8" max="16384" width="9" style="25"/>
  </cols>
  <sheetData>
    <row r="2" spans="1:8" ht="16.5" customHeight="1">
      <c r="B2" s="155" t="s">
        <v>128</v>
      </c>
      <c r="C2" s="155" t="s">
        <v>16</v>
      </c>
    </row>
    <row r="4" spans="1:8" ht="16.5" customHeight="1">
      <c r="C4" s="31" t="s">
        <v>231</v>
      </c>
      <c r="E4" s="156"/>
      <c r="F4" s="157"/>
    </row>
    <row r="5" spans="1:8" ht="16.5" customHeight="1">
      <c r="B5" s="31" t="s">
        <v>130</v>
      </c>
      <c r="C5" s="31" t="s">
        <v>144</v>
      </c>
      <c r="E5" s="156"/>
      <c r="F5" s="157"/>
    </row>
    <row r="6" spans="1:8" ht="16.5" customHeight="1">
      <c r="B6" s="31"/>
      <c r="C6" s="31" t="s">
        <v>107</v>
      </c>
      <c r="E6" s="156"/>
      <c r="F6" s="157"/>
    </row>
    <row r="7" spans="1:8" ht="16.5" customHeight="1">
      <c r="B7" s="31" t="s">
        <v>131</v>
      </c>
      <c r="C7" s="158" t="s">
        <v>114</v>
      </c>
      <c r="E7" s="156"/>
      <c r="F7" s="157"/>
    </row>
    <row r="8" spans="1:8" ht="16.5" customHeight="1">
      <c r="B8" s="31"/>
      <c r="C8" s="31" t="s">
        <v>112</v>
      </c>
      <c r="E8" s="156"/>
      <c r="F8" s="157"/>
    </row>
    <row r="9" spans="1:8" ht="16.5" customHeight="1">
      <c r="B9" s="31"/>
      <c r="C9" s="31" t="s">
        <v>113</v>
      </c>
      <c r="E9" s="156"/>
      <c r="F9" s="157"/>
    </row>
    <row r="10" spans="1:8" ht="16.5" customHeight="1">
      <c r="C10" s="31" t="s">
        <v>118</v>
      </c>
      <c r="E10" s="156"/>
      <c r="F10" s="157"/>
    </row>
    <row r="11" spans="1:8" ht="16.5" customHeight="1">
      <c r="C11" s="31" t="s">
        <v>17</v>
      </c>
      <c r="E11" s="156"/>
      <c r="F11" s="157"/>
    </row>
    <row r="12" spans="1:8" ht="16.5" customHeight="1">
      <c r="C12" s="31" t="s">
        <v>111</v>
      </c>
      <c r="E12" s="156"/>
      <c r="F12" s="157"/>
    </row>
    <row r="13" spans="1:8" ht="16.5" customHeight="1">
      <c r="E13" s="159"/>
      <c r="F13" s="159"/>
    </row>
    <row r="14" spans="1:8" s="160" customFormat="1" ht="16.5" customHeight="1">
      <c r="A14" s="25"/>
      <c r="B14" s="25"/>
      <c r="C14" s="155"/>
      <c r="D14" s="25"/>
      <c r="E14" s="25"/>
      <c r="F14" s="25"/>
      <c r="G14" s="25"/>
      <c r="H14" s="25"/>
    </row>
    <row r="15" spans="1:8" s="160" customFormat="1" ht="16.5" customHeight="1">
      <c r="A15" s="25"/>
      <c r="B15" s="25"/>
      <c r="C15" s="25"/>
      <c r="D15" s="25"/>
      <c r="E15" s="25"/>
      <c r="F15" s="31"/>
      <c r="G15" s="31"/>
      <c r="H15" s="31"/>
    </row>
    <row r="16" spans="1:8" s="160" customFormat="1" ht="16.5" customHeight="1">
      <c r="A16" s="25"/>
      <c r="B16" s="25"/>
      <c r="C16" s="31"/>
      <c r="D16" s="25"/>
      <c r="E16" s="156"/>
      <c r="F16" s="31"/>
      <c r="G16" s="31"/>
      <c r="H16" s="31"/>
    </row>
    <row r="17" spans="1:8" s="160" customFormat="1" ht="16.5" customHeight="1">
      <c r="A17" s="25"/>
      <c r="B17" s="25"/>
      <c r="C17" s="31"/>
      <c r="D17" s="25"/>
      <c r="E17" s="156"/>
      <c r="F17" s="31"/>
      <c r="G17" s="31"/>
      <c r="H17" s="31"/>
    </row>
    <row r="18" spans="1:8" s="160" customFormat="1" ht="16.5" customHeight="1">
      <c r="A18" s="25"/>
      <c r="B18" s="25"/>
      <c r="C18" s="31"/>
      <c r="D18" s="25"/>
      <c r="E18" s="156"/>
      <c r="F18" s="31"/>
      <c r="G18" s="31"/>
      <c r="H18" s="31"/>
    </row>
    <row r="19" spans="1:8" ht="16.5" customHeight="1">
      <c r="C19" s="31"/>
      <c r="E19" s="156"/>
      <c r="F19" s="31"/>
      <c r="G19" s="31"/>
      <c r="H19" s="31"/>
    </row>
    <row r="20" spans="1:8" ht="16.5" customHeight="1">
      <c r="C20" s="31"/>
      <c r="E20" s="156"/>
      <c r="F20" s="31"/>
      <c r="G20" s="31"/>
      <c r="H20" s="31"/>
    </row>
    <row r="21" spans="1:8" ht="16.5" customHeight="1">
      <c r="C21" s="31"/>
      <c r="E21" s="156"/>
      <c r="F21" s="31"/>
      <c r="G21" s="31"/>
      <c r="H21" s="31"/>
    </row>
    <row r="22" spans="1:8" s="26" customFormat="1" ht="16.5" customHeight="1">
      <c r="A22" s="25"/>
      <c r="B22" s="25"/>
      <c r="C22" s="31"/>
      <c r="D22" s="25"/>
      <c r="E22" s="156"/>
      <c r="F22" s="25"/>
      <c r="G22" s="25"/>
      <c r="H22" s="25"/>
    </row>
    <row r="24" spans="1:8" ht="16.5" customHeight="1">
      <c r="F24" s="31"/>
      <c r="G24" s="31"/>
      <c r="H24" s="31"/>
    </row>
    <row r="25" spans="1:8" ht="16.5" customHeight="1">
      <c r="F25" s="31"/>
      <c r="G25" s="31"/>
      <c r="H25" s="31"/>
    </row>
    <row r="26" spans="1:8" ht="16.5" customHeight="1">
      <c r="F26" s="31"/>
      <c r="G26" s="31"/>
      <c r="H26" s="31"/>
    </row>
  </sheetData>
  <phoneticPr fontId="11" type="noConversion"/>
  <pageMargins left="0.75" right="0.75" top="1" bottom="1" header="0.5" footer="0.5"/>
  <pageSetup scale="5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A15F00"/>
  </sheetPr>
  <dimension ref="A1"/>
  <sheetViews>
    <sheetView view="pageBreakPreview" zoomScale="60" zoomScaleNormal="100" workbookViewId="0">
      <selection activeCell="J35" sqref="J35"/>
    </sheetView>
  </sheetViews>
  <sheetFormatPr defaultRowHeight="16.5" customHeight="1"/>
  <cols>
    <col min="1" max="1" width="24.625" style="1" customWidth="1"/>
    <col min="2" max="2" width="12" style="1" bestFit="1" customWidth="1"/>
    <col min="3" max="4" width="8.875" style="1" bestFit="1" customWidth="1"/>
    <col min="5" max="5" width="8.625" style="1" bestFit="1" customWidth="1"/>
    <col min="6" max="6" width="8.125" style="1" bestFit="1" customWidth="1"/>
    <col min="7" max="7" width="11" style="1" bestFit="1" customWidth="1"/>
    <col min="8" max="8" width="9.875" style="1" bestFit="1" customWidth="1"/>
    <col min="9" max="9" width="10.125" style="1" bestFit="1" customWidth="1"/>
    <col min="10" max="10" width="8.125" style="1" bestFit="1" customWidth="1"/>
    <col min="11" max="11" width="8.5" style="1" bestFit="1" customWidth="1"/>
    <col min="12" max="16384" width="9" style="1"/>
  </cols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Q43"/>
  <sheetViews>
    <sheetView showGridLines="0" view="pageBreakPreview" zoomScale="75" zoomScaleNormal="100" zoomScaleSheetLayoutView="75" workbookViewId="0">
      <selection activeCell="F22" sqref="F22"/>
    </sheetView>
  </sheetViews>
  <sheetFormatPr defaultRowHeight="16.5" customHeight="1"/>
  <cols>
    <col min="1" max="1" width="3.5" style="335" customWidth="1"/>
    <col min="2" max="2" width="3.625" style="335" customWidth="1"/>
    <col min="3" max="3" width="44.625" style="335" customWidth="1"/>
    <col min="4" max="4" width="8.875" style="335" customWidth="1"/>
    <col min="5" max="5" width="6.125" style="335" customWidth="1"/>
    <col min="6" max="6" width="15.125" style="335" customWidth="1"/>
    <col min="7" max="7" width="3.625" style="335" customWidth="1"/>
    <col min="8" max="8" width="11.25" style="335" customWidth="1"/>
    <col min="9" max="9" width="3.5" style="335" customWidth="1"/>
    <col min="10" max="10" width="10.625" style="335" customWidth="1"/>
    <col min="11" max="11" width="6.5" style="335" bestFit="1" customWidth="1"/>
    <col min="12" max="16384" width="9" style="335"/>
  </cols>
  <sheetData>
    <row r="2" spans="1:17" ht="16.5" customHeight="1">
      <c r="E2" s="412" t="s">
        <v>5</v>
      </c>
      <c r="F2" s="413" t="s">
        <v>108</v>
      </c>
      <c r="G2" s="414"/>
      <c r="H2" s="414" t="s">
        <v>210</v>
      </c>
      <c r="I2" s="414"/>
      <c r="J2" s="415" t="s">
        <v>211</v>
      </c>
    </row>
    <row r="3" spans="1:17" ht="16.5" customHeight="1">
      <c r="E3" s="416" t="s">
        <v>64</v>
      </c>
      <c r="F3" s="417" t="s">
        <v>109</v>
      </c>
      <c r="G3" s="418"/>
      <c r="H3" s="418" t="s">
        <v>193</v>
      </c>
      <c r="I3" s="418"/>
      <c r="J3" s="419" t="s">
        <v>110</v>
      </c>
    </row>
    <row r="4" spans="1:17" ht="16.5" customHeight="1">
      <c r="B4" s="420"/>
      <c r="F4" s="206"/>
      <c r="H4" s="281"/>
    </row>
    <row r="5" spans="1:17" ht="16.5" customHeight="1">
      <c r="B5" s="420" t="s">
        <v>116</v>
      </c>
      <c r="E5" s="274">
        <f>A27</f>
        <v>1</v>
      </c>
      <c r="F5" s="206"/>
      <c r="G5" s="293"/>
      <c r="H5" s="293"/>
      <c r="I5" s="421"/>
    </row>
    <row r="6" spans="1:17" ht="16.5" customHeight="1">
      <c r="A6" s="420"/>
      <c r="C6" s="372" t="s">
        <v>195</v>
      </c>
      <c r="E6" s="274"/>
      <c r="F6" s="425">
        <v>5425</v>
      </c>
      <c r="H6" s="281">
        <f>F6/F$8</f>
        <v>1</v>
      </c>
    </row>
    <row r="7" spans="1:17" ht="16.5" customHeight="1">
      <c r="A7" s="420"/>
      <c r="C7" s="372" t="s">
        <v>127</v>
      </c>
      <c r="E7" s="274"/>
      <c r="F7" s="374">
        <v>0</v>
      </c>
      <c r="H7" s="423">
        <f>F7/F$8</f>
        <v>0</v>
      </c>
      <c r="L7" s="372"/>
    </row>
    <row r="8" spans="1:17" ht="16.5" customHeight="1" thickBot="1">
      <c r="B8" s="420" t="s">
        <v>140</v>
      </c>
      <c r="E8" s="412"/>
      <c r="F8" s="424">
        <f>SUM(F6:F7)</f>
        <v>5425</v>
      </c>
      <c r="G8" s="425"/>
      <c r="H8" s="426">
        <f>F8/F$8</f>
        <v>1</v>
      </c>
      <c r="L8" s="372"/>
    </row>
    <row r="9" spans="1:17" ht="16.5" customHeight="1" thickTop="1">
      <c r="B9" s="420"/>
      <c r="E9" s="412" t="s">
        <v>5</v>
      </c>
      <c r="F9" s="412"/>
      <c r="G9" s="425"/>
      <c r="H9" s="361"/>
    </row>
    <row r="10" spans="1:17" ht="16.5" customHeight="1">
      <c r="B10" s="420" t="s">
        <v>77</v>
      </c>
      <c r="E10" s="412"/>
      <c r="F10" s="412"/>
      <c r="G10" s="425"/>
      <c r="H10" s="361"/>
      <c r="K10" s="335" t="s">
        <v>5</v>
      </c>
    </row>
    <row r="11" spans="1:17" ht="16.5" customHeight="1">
      <c r="C11" s="335" t="s">
        <v>229</v>
      </c>
      <c r="E11" s="274">
        <f>A28</f>
        <v>2</v>
      </c>
      <c r="F11" s="206">
        <f>'Hist BS (All)'!K31</f>
        <v>27.125</v>
      </c>
      <c r="H11" s="281">
        <f>F11/$F$8</f>
        <v>5.0000000000000001E-3</v>
      </c>
    </row>
    <row r="12" spans="1:17" ht="16.5" customHeight="1">
      <c r="B12" s="335" t="s">
        <v>5</v>
      </c>
      <c r="C12" s="335" t="str">
        <f>'Hist BS (All)'!C10</f>
        <v>Property and Equipment, Net</v>
      </c>
      <c r="E12" s="274">
        <f>$A$28</f>
        <v>2</v>
      </c>
      <c r="F12" s="206">
        <f>'Hist BS (All)'!K10</f>
        <v>271.25</v>
      </c>
      <c r="H12" s="281">
        <f>F12/$F$8</f>
        <v>0.05</v>
      </c>
      <c r="J12" s="335" t="s">
        <v>5</v>
      </c>
    </row>
    <row r="13" spans="1:17" ht="16.5" customHeight="1">
      <c r="C13" s="335" t="s">
        <v>143</v>
      </c>
      <c r="E13" s="274">
        <f>$A$28</f>
        <v>2</v>
      </c>
      <c r="F13" s="427">
        <f>'Hist BS (All)'!K33</f>
        <v>108.5</v>
      </c>
      <c r="H13" s="428">
        <f>F13/$F$8</f>
        <v>0.02</v>
      </c>
    </row>
    <row r="14" spans="1:17" ht="16.5" customHeight="1">
      <c r="C14" s="335" t="s">
        <v>79</v>
      </c>
      <c r="E14" s="412"/>
      <c r="F14" s="276">
        <f>SUM(F11:F13)</f>
        <v>406.875</v>
      </c>
      <c r="H14" s="281">
        <f>SUM(H11:H13)</f>
        <v>7.4999999999999997E-2</v>
      </c>
      <c r="L14" s="335" t="s">
        <v>5</v>
      </c>
    </row>
    <row r="15" spans="1:17" ht="16.5" customHeight="1">
      <c r="E15" s="412"/>
      <c r="F15" s="276"/>
      <c r="H15" s="281"/>
    </row>
    <row r="16" spans="1:17" ht="16.5" customHeight="1">
      <c r="B16" s="420" t="s">
        <v>86</v>
      </c>
      <c r="E16" s="412"/>
      <c r="F16" s="206"/>
      <c r="H16" s="281"/>
      <c r="J16" s="429"/>
      <c r="M16" s="293"/>
      <c r="N16" s="293"/>
      <c r="O16" s="293"/>
      <c r="P16" s="293"/>
      <c r="Q16" s="293"/>
    </row>
    <row r="17" spans="1:17" ht="16.5" customHeight="1">
      <c r="C17" s="335" t="str">
        <f>'Table of Contents'!C5</f>
        <v>Trade Name and Trademarks</v>
      </c>
      <c r="E17" s="412"/>
      <c r="F17" s="276">
        <f>'Trade Name'!H24</f>
        <v>568.20000000000005</v>
      </c>
      <c r="H17" s="281">
        <f>F17/$F$8</f>
        <v>0.1047373271889401</v>
      </c>
      <c r="J17" s="430" t="s">
        <v>87</v>
      </c>
      <c r="M17" s="293"/>
      <c r="N17" s="293"/>
      <c r="O17" s="293"/>
      <c r="P17" s="293"/>
      <c r="Q17" s="293"/>
    </row>
    <row r="18" spans="1:17" ht="16.5" customHeight="1">
      <c r="C18" s="335" t="str">
        <f>'Table of Contents'!C6</f>
        <v>Technology</v>
      </c>
      <c r="E18" s="412"/>
      <c r="F18" s="276">
        <f>'Technology-RfR'!H23</f>
        <v>176.6</v>
      </c>
      <c r="H18" s="281">
        <f>F18/$F$8</f>
        <v>3.2552995391705065E-2</v>
      </c>
      <c r="J18" s="430" t="str">
        <f>CONCATENATE(SUM('Technology-RfR'!E46), " Years")</f>
        <v>6 Years</v>
      </c>
      <c r="M18" s="293"/>
      <c r="N18" s="293"/>
      <c r="O18" s="293"/>
      <c r="P18" s="293"/>
      <c r="Q18" s="293"/>
    </row>
    <row r="19" spans="1:17" ht="16.5" customHeight="1">
      <c r="B19" s="420"/>
      <c r="C19" s="335" t="str">
        <f>'Table of Contents'!C7</f>
        <v>Noncompete Agreement</v>
      </c>
      <c r="E19" s="412"/>
      <c r="F19" s="206">
        <f>Noncompete!I19</f>
        <v>32.4</v>
      </c>
      <c r="G19" s="293"/>
      <c r="H19" s="431">
        <f>F19/$F$8</f>
        <v>5.9723502304147467E-3</v>
      </c>
      <c r="J19" s="430" t="s">
        <v>207</v>
      </c>
      <c r="M19" s="293"/>
      <c r="N19" s="293"/>
      <c r="O19" s="293"/>
      <c r="P19" s="293"/>
      <c r="Q19" s="293"/>
    </row>
    <row r="20" spans="1:17" ht="16.5" customHeight="1">
      <c r="B20" s="420"/>
      <c r="C20" s="335" t="s">
        <v>88</v>
      </c>
      <c r="E20" s="412"/>
      <c r="F20" s="286">
        <f>SUM(F17:F19)</f>
        <v>777.2</v>
      </c>
      <c r="H20" s="432">
        <f>SUM(H17:H19)</f>
        <v>0.14326267281105992</v>
      </c>
      <c r="M20" s="293"/>
      <c r="N20" s="293"/>
      <c r="O20" s="293"/>
      <c r="P20" s="293"/>
      <c r="Q20" s="293"/>
    </row>
    <row r="21" spans="1:17" ht="16.5" customHeight="1">
      <c r="B21" s="420"/>
      <c r="E21" s="412"/>
      <c r="F21" s="206"/>
      <c r="H21" s="281"/>
      <c r="M21" s="293"/>
      <c r="N21" s="293"/>
      <c r="O21" s="293"/>
      <c r="P21" s="293"/>
      <c r="Q21" s="293"/>
    </row>
    <row r="22" spans="1:17" ht="16.5" customHeight="1">
      <c r="B22" s="420"/>
      <c r="C22" s="335" t="s">
        <v>83</v>
      </c>
      <c r="E22" s="274">
        <f>A29</f>
        <v>3</v>
      </c>
      <c r="F22" s="206">
        <f>F8-F14-F20</f>
        <v>4240.9250000000002</v>
      </c>
      <c r="H22" s="281">
        <f>F22/$F$8</f>
        <v>0.78173732718894018</v>
      </c>
    </row>
    <row r="23" spans="1:17" ht="16.5" customHeight="1">
      <c r="B23" s="420"/>
      <c r="E23" s="412"/>
      <c r="F23" s="206"/>
      <c r="H23" s="281"/>
    </row>
    <row r="24" spans="1:17" ht="16.5" customHeight="1" thickBot="1">
      <c r="B24" s="433" t="s">
        <v>117</v>
      </c>
      <c r="E24" s="412"/>
      <c r="F24" s="424">
        <f>F22+F20+F14</f>
        <v>5425</v>
      </c>
      <c r="H24" s="426">
        <f>F24/$F$8</f>
        <v>1</v>
      </c>
    </row>
    <row r="25" spans="1:17" s="293" customFormat="1" ht="16.5" customHeight="1" thickTop="1">
      <c r="A25" s="434"/>
      <c r="B25" s="435"/>
      <c r="C25" s="434"/>
      <c r="D25" s="434"/>
      <c r="E25" s="434"/>
      <c r="F25" s="374"/>
      <c r="G25" s="434"/>
      <c r="H25" s="434"/>
      <c r="I25" s="434"/>
      <c r="J25" s="434"/>
      <c r="K25" s="434"/>
    </row>
    <row r="26" spans="1:17" s="318" customFormat="1" ht="16.5" customHeight="1">
      <c r="A26" s="335" t="s">
        <v>25</v>
      </c>
      <c r="B26" s="335"/>
      <c r="C26" s="335"/>
      <c r="D26" s="335"/>
      <c r="E26" s="335"/>
      <c r="F26" s="436" t="s">
        <v>5</v>
      </c>
      <c r="G26" s="335"/>
      <c r="H26" s="335"/>
      <c r="I26" s="335"/>
      <c r="J26" s="335"/>
      <c r="K26" s="335"/>
    </row>
    <row r="27" spans="1:17" s="318" customFormat="1" ht="16.5" customHeight="1">
      <c r="A27" s="275">
        <v>1</v>
      </c>
      <c r="B27" s="335" t="s">
        <v>89</v>
      </c>
      <c r="C27" s="335"/>
      <c r="D27" s="335"/>
      <c r="E27" s="335"/>
      <c r="F27" s="335"/>
      <c r="G27" s="335"/>
      <c r="H27" s="335"/>
      <c r="I27" s="335"/>
      <c r="J27" s="335"/>
      <c r="K27" s="335"/>
    </row>
    <row r="28" spans="1:17" s="318" customFormat="1" ht="16.5" customHeight="1">
      <c r="A28" s="275">
        <v>2</v>
      </c>
      <c r="B28" s="335" t="s">
        <v>268</v>
      </c>
      <c r="C28" s="335"/>
      <c r="D28" s="335"/>
      <c r="E28" s="335"/>
      <c r="F28" s="335"/>
      <c r="G28" s="335"/>
      <c r="H28" s="335"/>
      <c r="I28" s="335"/>
      <c r="J28" s="335"/>
      <c r="K28" s="335"/>
    </row>
    <row r="29" spans="1:17" s="318" customFormat="1" ht="33" customHeight="1">
      <c r="A29" s="328">
        <v>3</v>
      </c>
      <c r="B29" s="582" t="s">
        <v>282</v>
      </c>
      <c r="C29" s="582"/>
      <c r="D29" s="582"/>
      <c r="E29" s="582"/>
      <c r="F29" s="582"/>
      <c r="G29" s="582"/>
      <c r="H29" s="582"/>
      <c r="I29" s="582"/>
      <c r="J29" s="582"/>
      <c r="K29" s="582"/>
    </row>
    <row r="30" spans="1:17" s="318" customFormat="1" ht="16.5" customHeight="1"/>
    <row r="32" spans="1:17" ht="16.5" customHeight="1">
      <c r="F32" s="276"/>
    </row>
    <row r="33" spans="2:6" ht="16.5" customHeight="1">
      <c r="F33" s="437"/>
    </row>
    <row r="40" spans="2:6" ht="16.5" customHeight="1">
      <c r="B40" s="420"/>
    </row>
    <row r="41" spans="2:6" ht="16.5" customHeight="1">
      <c r="B41" s="420"/>
    </row>
    <row r="42" spans="2:6" ht="16.5" customHeight="1">
      <c r="B42" s="420"/>
    </row>
    <row r="43" spans="2:6" ht="16.5" customHeight="1">
      <c r="B43" s="420"/>
    </row>
  </sheetData>
  <mergeCells count="1">
    <mergeCell ref="B29:K29"/>
  </mergeCells>
  <printOptions horizontalCentered="1"/>
  <pageMargins left="0.5" right="0.5" top="0.5" bottom="0.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U43"/>
  <sheetViews>
    <sheetView showGridLines="0" view="pageBreakPreview" topLeftCell="A16" zoomScale="85" zoomScaleNormal="100" zoomScaleSheetLayoutView="85" workbookViewId="0">
      <selection activeCell="C25" sqref="C25"/>
    </sheetView>
  </sheetViews>
  <sheetFormatPr defaultRowHeight="16.5" customHeight="1"/>
  <cols>
    <col min="1" max="1" width="3.25" style="335" customWidth="1"/>
    <col min="2" max="3" width="2.375" style="335" customWidth="1"/>
    <col min="4" max="4" width="46.375" style="335" customWidth="1"/>
    <col min="5" max="5" width="12.5" style="335" customWidth="1"/>
    <col min="6" max="6" width="6.75" style="335" customWidth="1"/>
    <col min="7" max="7" width="5.625" style="335" bestFit="1" customWidth="1"/>
    <col min="8" max="8" width="14.5" style="335" bestFit="1" customWidth="1"/>
    <col min="9" max="9" width="2.625" style="335" customWidth="1"/>
    <col min="10" max="14" width="11.625" style="335" bestFit="1" customWidth="1"/>
    <col min="15" max="15" width="11.625" style="335" customWidth="1"/>
    <col min="16" max="16" width="1.625" style="335" customWidth="1"/>
    <col min="17" max="17" width="11.625" style="335" customWidth="1"/>
    <col min="18" max="18" width="3.25" style="335" customWidth="1"/>
    <col min="19" max="19" width="10.75" style="335" bestFit="1" customWidth="1"/>
    <col min="20" max="16384" width="9" style="335"/>
  </cols>
  <sheetData>
    <row r="1" spans="1:20" ht="16.5" customHeight="1">
      <c r="K1" s="451" t="s">
        <v>5</v>
      </c>
    </row>
    <row r="2" spans="1:20" s="429" customFormat="1" ht="16.5" customHeight="1">
      <c r="A2" s="335"/>
      <c r="B2" s="335"/>
      <c r="C2" s="335"/>
      <c r="D2" s="335" t="s">
        <v>5</v>
      </c>
      <c r="E2" s="335"/>
      <c r="F2" s="452"/>
      <c r="G2" s="335"/>
      <c r="H2" s="441" t="str">
        <f>IRR!N2</f>
        <v>Apr 1 to Dec 31</v>
      </c>
      <c r="I2" s="453"/>
      <c r="J2" s="454" t="str">
        <f>"Projections for the Years Ending " &amp; TEXT('Assumption Sheet'!$G$9,"mmmm dd") &amp; ", (1)"</f>
        <v>Projections for the Years Ending December 31, (1)</v>
      </c>
      <c r="K2" s="455"/>
      <c r="L2" s="455"/>
      <c r="M2" s="455"/>
      <c r="N2" s="455"/>
      <c r="O2" s="456"/>
      <c r="P2" s="457"/>
      <c r="Q2" s="458" t="s">
        <v>56</v>
      </c>
      <c r="R2" s="335"/>
    </row>
    <row r="3" spans="1:20" ht="16.5" customHeight="1">
      <c r="E3" s="459"/>
      <c r="F3" s="460"/>
      <c r="G3" s="416" t="s">
        <v>64</v>
      </c>
      <c r="H3" s="461" t="str">
        <f>IRR!N3</f>
        <v>2020</v>
      </c>
      <c r="I3" s="462"/>
      <c r="J3" s="463">
        <f>H3+1</f>
        <v>2021</v>
      </c>
      <c r="K3" s="464">
        <f t="shared" ref="K3:O3" si="0">J3+1</f>
        <v>2022</v>
      </c>
      <c r="L3" s="464">
        <f t="shared" si="0"/>
        <v>2023</v>
      </c>
      <c r="M3" s="464">
        <f t="shared" si="0"/>
        <v>2024</v>
      </c>
      <c r="N3" s="464">
        <f t="shared" si="0"/>
        <v>2025</v>
      </c>
      <c r="O3" s="465">
        <f t="shared" si="0"/>
        <v>2026</v>
      </c>
      <c r="P3" s="462"/>
      <c r="Q3" s="461" t="s">
        <v>57</v>
      </c>
    </row>
    <row r="4" spans="1:20" ht="16.5" customHeight="1">
      <c r="B4" s="466"/>
      <c r="C4" s="466"/>
      <c r="F4" s="467"/>
      <c r="H4" s="468"/>
      <c r="I4" s="468"/>
      <c r="J4" s="462"/>
      <c r="K4" s="462"/>
      <c r="L4" s="462"/>
      <c r="M4" s="462"/>
      <c r="N4" s="469"/>
      <c r="O4" s="469"/>
      <c r="P4" s="469"/>
      <c r="Q4" s="469"/>
    </row>
    <row r="5" spans="1:20" ht="16.5" customHeight="1">
      <c r="B5" s="470" t="s">
        <v>65</v>
      </c>
      <c r="C5" s="466"/>
      <c r="F5" s="466"/>
      <c r="H5" s="372">
        <f>IRR!N5</f>
        <v>4068.75</v>
      </c>
      <c r="I5" s="372"/>
      <c r="J5" s="372">
        <f>IRR!P5</f>
        <v>6238.7499999999991</v>
      </c>
      <c r="K5" s="372">
        <f>IRR!Q5</f>
        <v>7174.5624999999982</v>
      </c>
      <c r="L5" s="372">
        <f>IRR!R5</f>
        <v>7892.0187499999984</v>
      </c>
      <c r="M5" s="372">
        <f>IRR!S5</f>
        <v>8681.2206249999981</v>
      </c>
      <c r="N5" s="372">
        <f>IRR!T5</f>
        <v>9115.2816562499993</v>
      </c>
      <c r="O5" s="372">
        <f>IRR!U5</f>
        <v>9571.0457390624997</v>
      </c>
      <c r="P5" s="469"/>
      <c r="Q5" s="372">
        <f>IRR!W5</f>
        <v>9858.1771112343758</v>
      </c>
      <c r="T5" s="335" t="s">
        <v>5</v>
      </c>
    </row>
    <row r="6" spans="1:20" ht="16.5" customHeight="1">
      <c r="B6" s="335" t="str">
        <f>CONCATENATE("Revenue Percentage Attributable to ",'Table of Contents'!C5)</f>
        <v>Revenue Percentage Attributable to Trade Name and Trademarks</v>
      </c>
      <c r="C6" s="466"/>
      <c r="F6" s="466"/>
      <c r="G6" s="274">
        <f>A28</f>
        <v>1</v>
      </c>
      <c r="H6" s="451">
        <f>'Assumption Sheet'!G16</f>
        <v>0.9</v>
      </c>
      <c r="I6" s="471"/>
      <c r="J6" s="451">
        <f>H6</f>
        <v>0.9</v>
      </c>
      <c r="K6" s="451">
        <f t="shared" ref="K6:O6" si="1">J6</f>
        <v>0.9</v>
      </c>
      <c r="L6" s="451">
        <f t="shared" si="1"/>
        <v>0.9</v>
      </c>
      <c r="M6" s="451">
        <f t="shared" si="1"/>
        <v>0.9</v>
      </c>
      <c r="N6" s="451">
        <f t="shared" si="1"/>
        <v>0.9</v>
      </c>
      <c r="O6" s="451">
        <f t="shared" si="1"/>
        <v>0.9</v>
      </c>
      <c r="P6" s="472"/>
      <c r="Q6" s="451">
        <f>O6</f>
        <v>0.9</v>
      </c>
    </row>
    <row r="7" spans="1:20" ht="16.5" customHeight="1">
      <c r="C7" s="466"/>
      <c r="F7" s="466"/>
      <c r="H7" s="473"/>
      <c r="I7" s="473">
        <v>3</v>
      </c>
      <c r="J7" s="473"/>
      <c r="K7" s="473"/>
      <c r="L7" s="473"/>
      <c r="M7" s="473"/>
      <c r="N7" s="473"/>
      <c r="O7" s="473"/>
      <c r="P7" s="474"/>
      <c r="Q7" s="473"/>
    </row>
    <row r="8" spans="1:20" ht="16.5" customHeight="1">
      <c r="B8" s="420" t="s">
        <v>230</v>
      </c>
      <c r="E8" s="335" t="s">
        <v>5</v>
      </c>
      <c r="F8" s="372"/>
      <c r="G8" s="275"/>
      <c r="H8" s="258">
        <f t="shared" ref="H8:N8" si="2">H5*H6</f>
        <v>3661.875</v>
      </c>
      <c r="I8" s="258"/>
      <c r="J8" s="258">
        <f t="shared" si="2"/>
        <v>5614.8749999999991</v>
      </c>
      <c r="K8" s="258">
        <f t="shared" si="2"/>
        <v>6457.1062499999989</v>
      </c>
      <c r="L8" s="258">
        <f t="shared" si="2"/>
        <v>7102.8168749999986</v>
      </c>
      <c r="M8" s="258">
        <f t="shared" si="2"/>
        <v>7813.0985624999985</v>
      </c>
      <c r="N8" s="258">
        <f t="shared" si="2"/>
        <v>8203.7534906250003</v>
      </c>
      <c r="O8" s="258">
        <f>O5*O6</f>
        <v>8613.9411651562496</v>
      </c>
      <c r="P8" s="262"/>
      <c r="Q8" s="258">
        <f>Q5*Q6</f>
        <v>8872.3594001109377</v>
      </c>
      <c r="S8" s="206"/>
    </row>
    <row r="9" spans="1:20" s="475" customFormat="1" ht="16.5" customHeight="1">
      <c r="D9" s="475" t="s">
        <v>66</v>
      </c>
      <c r="F9" s="476"/>
      <c r="G9" s="274"/>
      <c r="H9" s="477" t="s">
        <v>280</v>
      </c>
      <c r="I9" s="477"/>
      <c r="J9" s="477">
        <f>J8/H8-1</f>
        <v>0.53333333333333299</v>
      </c>
      <c r="K9" s="477">
        <f t="shared" ref="K9:N9" si="3">K8/J8-1</f>
        <v>0.14999999999999991</v>
      </c>
      <c r="L9" s="478">
        <f t="shared" si="3"/>
        <v>9.9999999999999867E-2</v>
      </c>
      <c r="M9" s="478">
        <f t="shared" si="3"/>
        <v>0.10000000000000009</v>
      </c>
      <c r="N9" s="478">
        <f t="shared" si="3"/>
        <v>5.0000000000000266E-2</v>
      </c>
      <c r="O9" s="478">
        <f>O8/N8-1</f>
        <v>4.9999999999999822E-2</v>
      </c>
      <c r="P9" s="477"/>
      <c r="Q9" s="477">
        <f>((Q8-O8)/O8)</f>
        <v>3.0000000000000079E-2</v>
      </c>
      <c r="S9" s="479"/>
    </row>
    <row r="10" spans="1:20" s="475" customFormat="1" ht="16.5" customHeight="1">
      <c r="F10" s="476"/>
      <c r="G10" s="274"/>
      <c r="H10" s="477"/>
      <c r="I10" s="477"/>
      <c r="J10" s="477"/>
      <c r="K10" s="477"/>
      <c r="L10" s="478"/>
      <c r="M10" s="478"/>
      <c r="N10" s="478"/>
      <c r="O10" s="478"/>
      <c r="P10" s="477"/>
      <c r="Q10" s="477"/>
      <c r="S10" s="479" t="s">
        <v>5</v>
      </c>
      <c r="T10" s="475" t="s">
        <v>5</v>
      </c>
    </row>
    <row r="11" spans="1:20" s="475" customFormat="1" ht="16.5" customHeight="1">
      <c r="B11" s="335" t="s">
        <v>194</v>
      </c>
      <c r="C11" s="335"/>
      <c r="D11" s="480"/>
      <c r="E11" s="480">
        <f>'Assumption Sheet'!G17</f>
        <v>1.4999999999999999E-2</v>
      </c>
      <c r="G11" s="274"/>
      <c r="H11" s="206">
        <f t="shared" ref="H11:O11" si="4">H8*$E$11</f>
        <v>54.928125000000001</v>
      </c>
      <c r="I11" s="206"/>
      <c r="J11" s="206">
        <f t="shared" si="4"/>
        <v>84.223124999999982</v>
      </c>
      <c r="K11" s="206">
        <f t="shared" si="4"/>
        <v>96.856593749999973</v>
      </c>
      <c r="L11" s="206">
        <f t="shared" si="4"/>
        <v>106.54225312499997</v>
      </c>
      <c r="M11" s="206">
        <f t="shared" si="4"/>
        <v>117.19647843749998</v>
      </c>
      <c r="N11" s="206">
        <f t="shared" si="4"/>
        <v>123.056302359375</v>
      </c>
      <c r="O11" s="206">
        <f t="shared" si="4"/>
        <v>129.20911747734374</v>
      </c>
      <c r="P11" s="481"/>
      <c r="Q11" s="206">
        <f>Q8*$E$11</f>
        <v>133.08539100166405</v>
      </c>
      <c r="S11" s="482" t="s">
        <v>5</v>
      </c>
      <c r="T11" s="475" t="s">
        <v>5</v>
      </c>
    </row>
    <row r="12" spans="1:20" ht="16.5" customHeight="1">
      <c r="B12" s="335" t="s">
        <v>18</v>
      </c>
      <c r="D12" s="480"/>
      <c r="E12" s="480">
        <f>Blended_Tax</f>
        <v>0.26134999999999997</v>
      </c>
      <c r="G12" s="274"/>
      <c r="H12" s="427">
        <f t="shared" ref="H12:N12" si="5">H11*$E$12</f>
        <v>14.355465468749999</v>
      </c>
      <c r="I12" s="374"/>
      <c r="J12" s="427">
        <f t="shared" si="5"/>
        <v>22.011713718749991</v>
      </c>
      <c r="K12" s="427">
        <f t="shared" si="5"/>
        <v>25.31347077656249</v>
      </c>
      <c r="L12" s="427">
        <f t="shared" si="5"/>
        <v>27.844817854218739</v>
      </c>
      <c r="M12" s="427">
        <f t="shared" si="5"/>
        <v>30.629299639640614</v>
      </c>
      <c r="N12" s="427">
        <f t="shared" si="5"/>
        <v>32.160764621622654</v>
      </c>
      <c r="O12" s="427">
        <f>O11*$E$12</f>
        <v>33.768802852703786</v>
      </c>
      <c r="P12" s="431"/>
      <c r="Q12" s="427">
        <f>Q11*$E$12</f>
        <v>34.781866938284892</v>
      </c>
      <c r="S12" s="335" t="s">
        <v>5</v>
      </c>
    </row>
    <row r="13" spans="1:20" ht="16.5" customHeight="1">
      <c r="A13" s="475"/>
      <c r="B13" s="420" t="s">
        <v>102</v>
      </c>
      <c r="E13" s="318"/>
      <c r="G13" s="274"/>
      <c r="H13" s="206">
        <f t="shared" ref="H13:N13" si="6">H11-H12</f>
        <v>40.572659531250004</v>
      </c>
      <c r="I13" s="206"/>
      <c r="J13" s="206">
        <f t="shared" si="6"/>
        <v>62.211411281249994</v>
      </c>
      <c r="K13" s="206">
        <f t="shared" si="6"/>
        <v>71.543122973437477</v>
      </c>
      <c r="L13" s="206">
        <f t="shared" si="6"/>
        <v>78.697435270781227</v>
      </c>
      <c r="M13" s="206">
        <f t="shared" si="6"/>
        <v>86.567178797859356</v>
      </c>
      <c r="N13" s="206">
        <f t="shared" si="6"/>
        <v>90.895537737752335</v>
      </c>
      <c r="O13" s="206">
        <f>O11-O12</f>
        <v>95.440314624639953</v>
      </c>
      <c r="Q13" s="206">
        <f>Q11-Q12</f>
        <v>98.303524063379157</v>
      </c>
      <c r="S13" s="335" t="s">
        <v>5</v>
      </c>
    </row>
    <row r="14" spans="1:20" ht="16.5" customHeight="1">
      <c r="B14" s="420"/>
      <c r="E14" s="318"/>
      <c r="G14" s="274"/>
      <c r="H14" s="206"/>
      <c r="I14" s="206"/>
      <c r="J14" s="206"/>
      <c r="K14" s="206"/>
      <c r="L14" s="206"/>
      <c r="M14" s="276"/>
    </row>
    <row r="15" spans="1:20" ht="16.5" customHeight="1">
      <c r="B15" s="335" t="s">
        <v>221</v>
      </c>
      <c r="E15" s="318"/>
      <c r="G15" s="274"/>
      <c r="H15" s="483">
        <f>'Assumption Sheet'!$G$6</f>
        <v>0.75</v>
      </c>
      <c r="I15" s="483"/>
      <c r="J15" s="483">
        <v>1</v>
      </c>
      <c r="K15" s="483">
        <f>+J15</f>
        <v>1</v>
      </c>
      <c r="L15" s="483">
        <f t="shared" ref="L15:O15" si="7">+K15</f>
        <v>1</v>
      </c>
      <c r="M15" s="483">
        <f t="shared" si="7"/>
        <v>1</v>
      </c>
      <c r="N15" s="483">
        <f t="shared" si="7"/>
        <v>1</v>
      </c>
      <c r="O15" s="483">
        <f t="shared" si="7"/>
        <v>1</v>
      </c>
      <c r="P15" s="484"/>
    </row>
    <row r="16" spans="1:20" ht="16.5" customHeight="1">
      <c r="B16" s="335" t="s">
        <v>28</v>
      </c>
      <c r="E16" s="318"/>
      <c r="G16" s="274"/>
      <c r="H16" s="483">
        <f>H15/2</f>
        <v>0.375</v>
      </c>
      <c r="I16" s="483"/>
      <c r="J16" s="483">
        <f>H16*2+0.5</f>
        <v>1.25</v>
      </c>
      <c r="K16" s="483">
        <f>J16+K15</f>
        <v>2.25</v>
      </c>
      <c r="L16" s="483">
        <f t="shared" ref="L16:N16" si="8">K16+L15</f>
        <v>3.25</v>
      </c>
      <c r="M16" s="483">
        <f t="shared" si="8"/>
        <v>4.25</v>
      </c>
      <c r="N16" s="483">
        <f t="shared" si="8"/>
        <v>5.25</v>
      </c>
      <c r="O16" s="483">
        <f>N16+O15/2+0.5</f>
        <v>6.25</v>
      </c>
      <c r="P16" s="484"/>
    </row>
    <row r="17" spans="1:21" ht="16.5" customHeight="1">
      <c r="B17" s="335" t="s">
        <v>29</v>
      </c>
      <c r="E17" s="480">
        <f>WARA!G14</f>
        <v>0.185</v>
      </c>
      <c r="G17" s="274"/>
      <c r="H17" s="485">
        <f>1/(1+$E$17)^H16</f>
        <v>0.93833003660469871</v>
      </c>
      <c r="I17" s="486"/>
      <c r="J17" s="485">
        <f>1/(1+$E$17)^J16</f>
        <v>0.80882033594802816</v>
      </c>
      <c r="K17" s="485">
        <f t="shared" ref="K17:O17" si="9">1/(1+$E$17)^K16</f>
        <v>0.68254880670719675</v>
      </c>
      <c r="L17" s="485">
        <f t="shared" si="9"/>
        <v>0.57599055418328837</v>
      </c>
      <c r="M17" s="485">
        <f t="shared" si="9"/>
        <v>0.48606797821374537</v>
      </c>
      <c r="N17" s="485">
        <f t="shared" si="9"/>
        <v>0.41018394785970075</v>
      </c>
      <c r="O17" s="485">
        <f t="shared" si="9"/>
        <v>0.34614679144278543</v>
      </c>
      <c r="P17" s="484"/>
    </row>
    <row r="18" spans="1:21" ht="16.5" customHeight="1">
      <c r="B18" s="420" t="s">
        <v>101</v>
      </c>
      <c r="E18" s="318"/>
      <c r="G18" s="274"/>
      <c r="H18" s="206">
        <f>H13*H17</f>
        <v>38.070545103107797</v>
      </c>
      <c r="I18" s="206"/>
      <c r="J18" s="206">
        <f>J13*J17*J15</f>
        <v>50.31785457230157</v>
      </c>
      <c r="K18" s="206">
        <f t="shared" ref="K18:O18" si="10">K13*K17*K15</f>
        <v>48.831673213625983</v>
      </c>
      <c r="L18" s="206">
        <f t="shared" si="10"/>
        <v>45.328979354420746</v>
      </c>
      <c r="M18" s="206">
        <f t="shared" si="10"/>
        <v>42.077533577943299</v>
      </c>
      <c r="N18" s="206">
        <f>N13*N17*N15</f>
        <v>37.283890512101664</v>
      </c>
      <c r="O18" s="206">
        <f t="shared" si="10"/>
        <v>33.036358681609073</v>
      </c>
      <c r="Q18" s="335" t="s">
        <v>5</v>
      </c>
    </row>
    <row r="19" spans="1:21" ht="16.5" customHeight="1">
      <c r="B19" s="420"/>
      <c r="G19" s="275"/>
      <c r="H19" s="293"/>
      <c r="I19" s="293"/>
      <c r="J19" s="293" t="s">
        <v>5</v>
      </c>
      <c r="K19" s="206"/>
      <c r="L19" s="293"/>
    </row>
    <row r="20" spans="1:21" ht="16.5" customHeight="1">
      <c r="B20" s="420"/>
      <c r="D20" s="335" t="s">
        <v>31</v>
      </c>
      <c r="G20" s="275"/>
      <c r="H20" s="276">
        <f>SUM(H18:O18)+Q25</f>
        <v>514.47876689935106</v>
      </c>
      <c r="I20" s="276"/>
      <c r="K20" s="206"/>
      <c r="L20" s="487" t="s">
        <v>50</v>
      </c>
      <c r="M20" s="290"/>
      <c r="N20" s="290"/>
      <c r="O20" s="488"/>
      <c r="P20" s="290"/>
      <c r="Q20" s="489"/>
    </row>
    <row r="21" spans="1:21" ht="16.5" customHeight="1">
      <c r="B21" s="420"/>
      <c r="D21" s="335" t="s">
        <v>91</v>
      </c>
      <c r="G21" s="490"/>
      <c r="H21" s="276">
        <f>E36</f>
        <v>53.683566983703571</v>
      </c>
      <c r="I21" s="276"/>
      <c r="K21" s="206"/>
      <c r="L21" s="292" t="s">
        <v>49</v>
      </c>
      <c r="M21" s="293"/>
      <c r="N21" s="293"/>
      <c r="O21" s="293"/>
      <c r="P21" s="293"/>
      <c r="Q21" s="294">
        <f>Q13</f>
        <v>98.303524063379157</v>
      </c>
      <c r="U21" s="491"/>
    </row>
    <row r="22" spans="1:21" ht="16.5" customHeight="1">
      <c r="B22" s="420"/>
      <c r="D22" s="420" t="str">
        <f>CONCATENATE("Fair Value of ",'Assumption Sheet'!$G$4, " ",'Table of Contents'!C5)</f>
        <v>Fair Value of XYZ Corporation Trade Name and Trademarks</v>
      </c>
      <c r="E22" s="420"/>
      <c r="G22" s="275"/>
      <c r="H22" s="492">
        <f>SUM(H20:H21)</f>
        <v>568.16233388305466</v>
      </c>
      <c r="I22" s="297"/>
      <c r="K22" s="206"/>
      <c r="L22" s="292" t="s">
        <v>51</v>
      </c>
      <c r="M22" s="293"/>
      <c r="N22" s="270"/>
      <c r="O22" s="270"/>
      <c r="P22" s="293"/>
      <c r="Q22" s="493">
        <f>E17-LTG_Rate</f>
        <v>0.155</v>
      </c>
      <c r="U22" s="491"/>
    </row>
    <row r="23" spans="1:21" ht="16.5" customHeight="1" thickBot="1">
      <c r="B23" s="420"/>
      <c r="K23" s="206"/>
      <c r="L23" s="292" t="s">
        <v>52</v>
      </c>
      <c r="M23" s="293"/>
      <c r="N23" s="293"/>
      <c r="O23" s="293"/>
      <c r="P23" s="293"/>
      <c r="Q23" s="494">
        <f>Q21/Q22</f>
        <v>634.21628427986559</v>
      </c>
    </row>
    <row r="24" spans="1:21" ht="16.5" customHeight="1" thickBot="1">
      <c r="B24" s="420"/>
      <c r="D24" s="495" t="str">
        <f>CONCATENATE("Fair Value of ",'Assumption Sheet'!$G$4, " ",'Table of Contents'!C5," (rounded)")</f>
        <v>Fair Value of XYZ Corporation Trade Name and Trademarks (rounded)</v>
      </c>
      <c r="E24" s="496"/>
      <c r="F24" s="496"/>
      <c r="G24" s="497" t="s">
        <v>5</v>
      </c>
      <c r="H24" s="307">
        <f>ROUND((H22),1)</f>
        <v>568.20000000000005</v>
      </c>
      <c r="I24" s="308"/>
      <c r="K24" s="206"/>
      <c r="L24" s="292" t="s">
        <v>29</v>
      </c>
      <c r="M24" s="293"/>
      <c r="N24" s="293"/>
      <c r="O24" s="293"/>
      <c r="P24" s="293"/>
      <c r="Q24" s="299">
        <f>O17</f>
        <v>0.34614679144278543</v>
      </c>
    </row>
    <row r="25" spans="1:21" ht="16.5" customHeight="1">
      <c r="B25" s="420"/>
      <c r="G25" s="275"/>
      <c r="K25" s="206"/>
      <c r="L25" s="300" t="s">
        <v>32</v>
      </c>
      <c r="M25" s="301"/>
      <c r="N25" s="301"/>
      <c r="O25" s="301"/>
      <c r="P25" s="301"/>
      <c r="Q25" s="498">
        <f>Q23*Q24</f>
        <v>219.53193188424095</v>
      </c>
    </row>
    <row r="26" spans="1:21" s="293" customFormat="1" ht="16.5" customHeight="1">
      <c r="A26" s="434"/>
      <c r="B26" s="435"/>
      <c r="C26" s="434"/>
      <c r="D26" s="434"/>
      <c r="E26" s="434"/>
      <c r="F26" s="434"/>
      <c r="G26" s="499"/>
      <c r="H26" s="434"/>
      <c r="I26" s="434"/>
      <c r="J26" s="434"/>
      <c r="K26" s="374"/>
      <c r="L26" s="434"/>
      <c r="M26" s="434"/>
      <c r="N26" s="434"/>
      <c r="O26" s="434"/>
      <c r="P26" s="434"/>
      <c r="Q26" s="374"/>
      <c r="R26" s="434"/>
    </row>
    <row r="27" spans="1:21" s="318" customFormat="1" ht="16.5" customHeight="1">
      <c r="A27" s="318" t="s">
        <v>25</v>
      </c>
      <c r="L27" s="500"/>
      <c r="M27" s="500"/>
      <c r="N27" s="500"/>
      <c r="O27" s="500"/>
      <c r="P27" s="405"/>
      <c r="Q27" s="422"/>
    </row>
    <row r="28" spans="1:21" s="318" customFormat="1" ht="16.5" customHeight="1">
      <c r="A28" s="242">
        <v>1</v>
      </c>
      <c r="B28" s="318" t="s">
        <v>283</v>
      </c>
    </row>
    <row r="29" spans="1:21" ht="16.5" customHeight="1">
      <c r="B29" s="501"/>
    </row>
    <row r="30" spans="1:21" ht="16.5" customHeight="1">
      <c r="D30" s="502" t="s">
        <v>91</v>
      </c>
      <c r="E30" s="503"/>
    </row>
    <row r="31" spans="1:21" ht="16.5" customHeight="1">
      <c r="D31" s="504"/>
      <c r="E31" s="505"/>
    </row>
    <row r="32" spans="1:21" ht="16.5" customHeight="1">
      <c r="D32" s="506" t="s">
        <v>71</v>
      </c>
      <c r="E32" s="294">
        <f>H20</f>
        <v>514.47876689935106</v>
      </c>
    </row>
    <row r="33" spans="4:17" ht="16.5" customHeight="1">
      <c r="D33" s="506" t="s">
        <v>72</v>
      </c>
      <c r="E33" s="507">
        <v>15</v>
      </c>
    </row>
    <row r="34" spans="4:17" ht="16.5" customHeight="1">
      <c r="D34" s="506" t="s">
        <v>58</v>
      </c>
      <c r="E34" s="508">
        <f>E17</f>
        <v>0.185</v>
      </c>
    </row>
    <row r="35" spans="4:17" ht="16.5" customHeight="1">
      <c r="D35" s="506" t="s">
        <v>34</v>
      </c>
      <c r="E35" s="493">
        <f>E12</f>
        <v>0.26134999999999997</v>
      </c>
    </row>
    <row r="36" spans="4:17" ht="16.5" customHeight="1">
      <c r="D36" s="509" t="s">
        <v>91</v>
      </c>
      <c r="E36" s="510">
        <f>E32*(E33/(E33-((PV(E34,E33,-1)*(1+E34)^0.5)*E35))-1)</f>
        <v>53.683566983703571</v>
      </c>
    </row>
    <row r="37" spans="4:17" ht="16.5" customHeight="1">
      <c r="D37" s="511"/>
      <c r="E37" s="297"/>
    </row>
    <row r="39" spans="4:17" ht="16.5" customHeight="1">
      <c r="D39" s="512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4:17" ht="16.5" customHeight="1">
      <c r="D40" s="293"/>
      <c r="E40" s="512"/>
      <c r="F40" s="293"/>
      <c r="G40" s="293"/>
      <c r="H40" s="425"/>
      <c r="I40" s="425"/>
      <c r="J40" s="425"/>
      <c r="K40" s="425"/>
      <c r="L40" s="425"/>
      <c r="M40" s="425"/>
      <c r="N40" s="425"/>
      <c r="O40" s="425"/>
      <c r="P40" s="425"/>
      <c r="Q40" s="293"/>
    </row>
    <row r="41" spans="4:17" ht="16.5" customHeight="1">
      <c r="D41" s="293"/>
      <c r="E41" s="512"/>
      <c r="F41" s="293"/>
      <c r="G41" s="293"/>
      <c r="H41" s="425"/>
      <c r="I41" s="425"/>
      <c r="J41" s="425"/>
      <c r="K41" s="425"/>
      <c r="L41" s="425"/>
      <c r="M41" s="425"/>
      <c r="N41" s="425"/>
      <c r="O41" s="425"/>
      <c r="P41" s="425"/>
      <c r="Q41" s="293"/>
    </row>
    <row r="42" spans="4:17" ht="16.5" customHeight="1">
      <c r="D42" s="293"/>
      <c r="E42" s="293"/>
      <c r="F42" s="293"/>
      <c r="G42" s="293"/>
      <c r="H42" s="293"/>
      <c r="I42" s="293"/>
      <c r="J42" s="293"/>
      <c r="K42" s="293"/>
      <c r="L42" s="293"/>
      <c r="M42" s="293"/>
      <c r="N42" s="293"/>
      <c r="O42" s="293"/>
      <c r="P42" s="293"/>
      <c r="Q42" s="293"/>
    </row>
    <row r="43" spans="4:17" ht="16.5" customHeight="1">
      <c r="D43" s="512"/>
      <c r="E43" s="293"/>
      <c r="F43" s="293"/>
      <c r="G43" s="293"/>
      <c r="H43" s="267"/>
      <c r="I43" s="267"/>
      <c r="J43" s="267"/>
      <c r="K43" s="267"/>
      <c r="L43" s="267"/>
      <c r="M43" s="267"/>
      <c r="N43" s="267"/>
      <c r="O43" s="267"/>
      <c r="P43" s="267"/>
      <c r="Q43" s="293"/>
    </row>
  </sheetData>
  <printOptions horizontalCentered="1"/>
  <pageMargins left="0.5" right="0.5" top="0.5" bottom="0.5" header="0.3" footer="0.3"/>
  <pageSetup scale="71" orientation="landscape" r:id="rId1"/>
  <colBreaks count="1" manualBreakCount="1">
    <brk id="1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U47"/>
  <sheetViews>
    <sheetView showGridLines="0" tabSelected="1" view="pageBreakPreview" zoomScale="75" zoomScaleNormal="100" zoomScaleSheetLayoutView="75" workbookViewId="0"/>
  </sheetViews>
  <sheetFormatPr defaultRowHeight="16.5" customHeight="1"/>
  <cols>
    <col min="1" max="1" width="3.25" style="335" customWidth="1"/>
    <col min="2" max="3" width="2.375" style="335" customWidth="1"/>
    <col min="4" max="4" width="47.125" style="335" customWidth="1"/>
    <col min="5" max="5" width="6.5" style="335" customWidth="1"/>
    <col min="6" max="6" width="6.25" style="335" bestFit="1" customWidth="1"/>
    <col min="7" max="7" width="5.625" style="335" bestFit="1" customWidth="1"/>
    <col min="8" max="8" width="14.5" style="335" bestFit="1" customWidth="1"/>
    <col min="9" max="9" width="2.625" style="335" customWidth="1"/>
    <col min="10" max="14" width="11.625" style="335" bestFit="1" customWidth="1"/>
    <col min="15" max="15" width="2.625" style="335" customWidth="1"/>
    <col min="16" max="16" width="14.375" style="335" bestFit="1" customWidth="1"/>
    <col min="17" max="17" width="1.625" style="335" customWidth="1"/>
    <col min="18" max="18" width="3.25" style="335" customWidth="1"/>
    <col min="19" max="19" width="10.75" style="335" bestFit="1" customWidth="1"/>
    <col min="20" max="16384" width="9" style="335"/>
  </cols>
  <sheetData>
    <row r="1" spans="1:20" ht="16.5" customHeight="1">
      <c r="K1" s="451" t="s">
        <v>5</v>
      </c>
    </row>
    <row r="2" spans="1:20" s="429" customFormat="1" ht="16.5" customHeight="1">
      <c r="A2" s="335"/>
      <c r="B2" s="335"/>
      <c r="C2" s="335"/>
      <c r="D2" s="335" t="s">
        <v>5</v>
      </c>
      <c r="E2" s="335"/>
      <c r="F2" s="452"/>
      <c r="G2" s="335"/>
      <c r="H2" s="524" t="str">
        <f>IRR!N2</f>
        <v>Apr 1 to Dec 31</v>
      </c>
      <c r="I2" s="525"/>
      <c r="J2" s="526" t="str">
        <f>"Projections for the Years Ending " &amp; TEXT('Assumption Sheet'!$G$9,"mmmm dd") &amp; ", (1)"</f>
        <v>Projections for the Years Ending December 31, (1)</v>
      </c>
      <c r="K2" s="527"/>
      <c r="L2" s="527"/>
      <c r="M2" s="527"/>
      <c r="N2" s="528"/>
      <c r="O2" s="525"/>
      <c r="P2" s="524" t="str">
        <f>TEXT('Assumption Sheet'!$G$9+1,"MMM D")&amp;" to "&amp;TEXT(P14*365,"MMM D")</f>
        <v>Jan 1 to Mar 31</v>
      </c>
      <c r="Q2" s="467"/>
      <c r="R2" s="466"/>
    </row>
    <row r="3" spans="1:20" ht="16.5" customHeight="1">
      <c r="E3" s="459"/>
      <c r="F3" s="460"/>
      <c r="G3" s="416" t="s">
        <v>64</v>
      </c>
      <c r="H3" s="461" t="str">
        <f>IRR!N3</f>
        <v>2020</v>
      </c>
      <c r="I3" s="462"/>
      <c r="J3" s="463">
        <f>H3+1</f>
        <v>2021</v>
      </c>
      <c r="K3" s="464">
        <f t="shared" ref="K3:N3" si="0">J3+1</f>
        <v>2022</v>
      </c>
      <c r="L3" s="464">
        <f t="shared" si="0"/>
        <v>2023</v>
      </c>
      <c r="M3" s="464">
        <f t="shared" si="0"/>
        <v>2024</v>
      </c>
      <c r="N3" s="465">
        <f t="shared" si="0"/>
        <v>2025</v>
      </c>
      <c r="O3" s="462"/>
      <c r="P3" s="461">
        <f>N3+1</f>
        <v>2026</v>
      </c>
      <c r="Q3" s="462"/>
    </row>
    <row r="4" spans="1:20" ht="16.5" customHeight="1">
      <c r="B4" s="466"/>
      <c r="C4" s="466"/>
      <c r="F4" s="467"/>
      <c r="H4" s="468"/>
      <c r="I4" s="468"/>
      <c r="J4" s="462"/>
      <c r="K4" s="462"/>
      <c r="L4" s="462"/>
      <c r="M4" s="462"/>
      <c r="N4" s="469"/>
      <c r="O4" s="469"/>
      <c r="P4" s="469"/>
      <c r="Q4" s="469"/>
    </row>
    <row r="5" spans="1:20" ht="16.5" customHeight="1">
      <c r="B5" s="470" t="str">
        <f>CONCATENATE("Total Revenue Associated with ",'Table of Contents'!C6)</f>
        <v>Total Revenue Associated with Technology</v>
      </c>
      <c r="C5" s="466"/>
      <c r="F5" s="466"/>
      <c r="H5" s="372">
        <f>IRR!N5</f>
        <v>4068.75</v>
      </c>
      <c r="I5" s="425"/>
      <c r="J5" s="372">
        <f>IRR!P5</f>
        <v>6238.7499999999991</v>
      </c>
      <c r="K5" s="372">
        <f>IRR!Q5</f>
        <v>7174.5624999999982</v>
      </c>
      <c r="L5" s="372">
        <f>IRR!R5</f>
        <v>7892.0187499999984</v>
      </c>
      <c r="M5" s="372">
        <f>IRR!S5</f>
        <v>8681.2206249999981</v>
      </c>
      <c r="N5" s="372">
        <f>IRR!T5</f>
        <v>9115.2816562499993</v>
      </c>
      <c r="O5" s="372"/>
      <c r="P5" s="372">
        <f>IRR!U5</f>
        <v>9571.0457390624997</v>
      </c>
      <c r="Q5" s="529"/>
      <c r="T5" s="335" t="s">
        <v>5</v>
      </c>
    </row>
    <row r="6" spans="1:20" ht="16.5" customHeight="1">
      <c r="B6" s="335" t="str">
        <f>CONCATENATE("Decay Factor Attributable to ",'Table of Contents'!C6)</f>
        <v>Decay Factor Attributable to Technology</v>
      </c>
      <c r="C6" s="466"/>
      <c r="F6" s="466"/>
      <c r="G6" s="274">
        <f>A28</f>
        <v>2</v>
      </c>
      <c r="H6" s="451">
        <f>H46</f>
        <v>0.9375</v>
      </c>
      <c r="I6" s="267"/>
      <c r="J6" s="451">
        <f t="shared" ref="J6:P6" si="1">J46</f>
        <v>0.79166666666666674</v>
      </c>
      <c r="K6" s="451">
        <f t="shared" si="1"/>
        <v>0.625</v>
      </c>
      <c r="L6" s="451">
        <f t="shared" si="1"/>
        <v>0.45833333333333343</v>
      </c>
      <c r="M6" s="451">
        <f t="shared" si="1"/>
        <v>0.2916666666666668</v>
      </c>
      <c r="N6" s="451">
        <f t="shared" si="1"/>
        <v>0.12500000000000011</v>
      </c>
      <c r="O6" s="451"/>
      <c r="P6" s="451">
        <f t="shared" si="1"/>
        <v>2.0833333333333398E-2</v>
      </c>
      <c r="Q6" s="472"/>
    </row>
    <row r="7" spans="1:20" ht="16.5" customHeight="1">
      <c r="C7" s="466"/>
      <c r="F7" s="466"/>
      <c r="H7" s="473"/>
      <c r="I7" s="473"/>
      <c r="J7" s="473"/>
      <c r="K7" s="473"/>
      <c r="L7" s="473"/>
      <c r="M7" s="473"/>
      <c r="N7" s="473"/>
      <c r="O7" s="473"/>
      <c r="P7" s="473"/>
      <c r="Q7" s="474"/>
    </row>
    <row r="8" spans="1:20" ht="16.5" customHeight="1">
      <c r="B8" s="420" t="str">
        <f>"Total Revenue Associated with Existing Technology"</f>
        <v>Total Revenue Associated with Existing Technology</v>
      </c>
      <c r="E8" s="335" t="s">
        <v>5</v>
      </c>
      <c r="F8" s="372"/>
      <c r="G8" s="275"/>
      <c r="H8" s="258">
        <f t="shared" ref="H8:P8" si="2">H5*H6</f>
        <v>3814.453125</v>
      </c>
      <c r="I8" s="262"/>
      <c r="J8" s="258">
        <f t="shared" si="2"/>
        <v>4939.0104166666661</v>
      </c>
      <c r="K8" s="258">
        <f t="shared" si="2"/>
        <v>4484.1015624999991</v>
      </c>
      <c r="L8" s="258">
        <f t="shared" si="2"/>
        <v>3617.1752604166668</v>
      </c>
      <c r="M8" s="258">
        <f t="shared" si="2"/>
        <v>2532.022682291667</v>
      </c>
      <c r="N8" s="258">
        <f t="shared" si="2"/>
        <v>1139.4102070312508</v>
      </c>
      <c r="O8" s="258"/>
      <c r="P8" s="258">
        <f t="shared" si="2"/>
        <v>199.39678623046936</v>
      </c>
      <c r="Q8" s="262"/>
      <c r="S8" s="206"/>
    </row>
    <row r="9" spans="1:20" s="475" customFormat="1" ht="16.5" customHeight="1">
      <c r="F9" s="476"/>
      <c r="G9" s="274"/>
      <c r="H9" s="477"/>
      <c r="I9" s="477"/>
      <c r="J9" s="477"/>
      <c r="K9" s="477"/>
      <c r="L9" s="478"/>
      <c r="M9" s="478"/>
      <c r="N9" s="478"/>
      <c r="O9" s="478"/>
      <c r="P9" s="478"/>
      <c r="Q9" s="477"/>
      <c r="S9" s="479" t="s">
        <v>5</v>
      </c>
      <c r="T9" s="475" t="s">
        <v>5</v>
      </c>
    </row>
    <row r="10" spans="1:20" s="475" customFormat="1" ht="16.5" customHeight="1">
      <c r="B10" s="335" t="s">
        <v>194</v>
      </c>
      <c r="C10" s="335"/>
      <c r="D10" s="480"/>
      <c r="E10" s="480">
        <v>1.4999999999999999E-2</v>
      </c>
      <c r="G10" s="274">
        <f>A29</f>
        <v>3</v>
      </c>
      <c r="H10" s="206">
        <f t="shared" ref="H10:P10" si="3">H8*$E$10</f>
        <v>57.216796875</v>
      </c>
      <c r="I10" s="206"/>
      <c r="J10" s="206">
        <f t="shared" si="3"/>
        <v>74.085156249999983</v>
      </c>
      <c r="K10" s="206">
        <f t="shared" si="3"/>
        <v>67.261523437499989</v>
      </c>
      <c r="L10" s="206">
        <f t="shared" si="3"/>
        <v>54.257628906249998</v>
      </c>
      <c r="M10" s="206">
        <f t="shared" si="3"/>
        <v>37.980340234375007</v>
      </c>
      <c r="N10" s="206">
        <f t="shared" si="3"/>
        <v>17.091153105468763</v>
      </c>
      <c r="O10" s="206"/>
      <c r="P10" s="206">
        <f t="shared" si="3"/>
        <v>2.9909517934570404</v>
      </c>
      <c r="Q10" s="481"/>
      <c r="S10" s="482" t="s">
        <v>5</v>
      </c>
      <c r="T10" s="475" t="s">
        <v>5</v>
      </c>
    </row>
    <row r="11" spans="1:20" ht="16.5" customHeight="1">
      <c r="B11" s="335" t="s">
        <v>18</v>
      </c>
      <c r="D11" s="480"/>
      <c r="E11" s="480">
        <f>Blended_Tax</f>
        <v>0.26134999999999997</v>
      </c>
      <c r="G11" s="274"/>
      <c r="H11" s="427">
        <f t="shared" ref="H11:P11" si="4">H10*$E$11</f>
        <v>14.953609863281248</v>
      </c>
      <c r="I11" s="374"/>
      <c r="J11" s="374">
        <f t="shared" si="4"/>
        <v>19.362155585937494</v>
      </c>
      <c r="K11" s="427">
        <f t="shared" si="4"/>
        <v>17.578799150390619</v>
      </c>
      <c r="L11" s="427">
        <f t="shared" si="4"/>
        <v>14.180231314648436</v>
      </c>
      <c r="M11" s="427">
        <f t="shared" si="4"/>
        <v>9.9261619202539073</v>
      </c>
      <c r="N11" s="427">
        <f t="shared" si="4"/>
        <v>4.4667728641142608</v>
      </c>
      <c r="O11" s="374"/>
      <c r="P11" s="427">
        <f t="shared" si="4"/>
        <v>0.78168525121999743</v>
      </c>
      <c r="Q11" s="431"/>
      <c r="S11" s="335" t="s">
        <v>5</v>
      </c>
    </row>
    <row r="12" spans="1:20" ht="16.5" customHeight="1">
      <c r="A12" s="475"/>
      <c r="B12" s="420" t="s">
        <v>102</v>
      </c>
      <c r="G12" s="274"/>
      <c r="H12" s="206">
        <f t="shared" ref="H12:P12" si="5">H10-H11</f>
        <v>42.263187011718756</v>
      </c>
      <c r="I12" s="206"/>
      <c r="J12" s="206">
        <f t="shared" si="5"/>
        <v>54.723000664062489</v>
      </c>
      <c r="K12" s="206">
        <f t="shared" si="5"/>
        <v>49.682724287109366</v>
      </c>
      <c r="L12" s="206">
        <f t="shared" si="5"/>
        <v>40.07739759160156</v>
      </c>
      <c r="M12" s="206">
        <f t="shared" si="5"/>
        <v>28.054178314121099</v>
      </c>
      <c r="N12" s="206">
        <f t="shared" si="5"/>
        <v>12.624380241354501</v>
      </c>
      <c r="O12" s="206"/>
      <c r="P12" s="206">
        <f t="shared" si="5"/>
        <v>2.2092665422370432</v>
      </c>
      <c r="S12" s="335" t="s">
        <v>5</v>
      </c>
    </row>
    <row r="13" spans="1:20" ht="16.5" customHeight="1">
      <c r="B13" s="420"/>
      <c r="G13" s="274"/>
      <c r="H13" s="206"/>
      <c r="I13" s="206"/>
      <c r="J13" s="206"/>
      <c r="K13" s="206"/>
      <c r="L13" s="206"/>
      <c r="M13" s="276"/>
    </row>
    <row r="14" spans="1:20" ht="16.5" customHeight="1">
      <c r="B14" s="335" t="s">
        <v>221</v>
      </c>
      <c r="G14" s="274"/>
      <c r="H14" s="483">
        <f>'Assumption Sheet'!$G$6</f>
        <v>0.75</v>
      </c>
      <c r="I14" s="483"/>
      <c r="J14" s="483">
        <v>1</v>
      </c>
      <c r="K14" s="483">
        <f>+J14</f>
        <v>1</v>
      </c>
      <c r="L14" s="483">
        <f t="shared" ref="L14:N14" si="6">+K14</f>
        <v>1</v>
      </c>
      <c r="M14" s="483">
        <f t="shared" si="6"/>
        <v>1</v>
      </c>
      <c r="N14" s="483">
        <f t="shared" si="6"/>
        <v>1</v>
      </c>
      <c r="O14" s="483"/>
      <c r="P14" s="483">
        <f>1-H14</f>
        <v>0.25</v>
      </c>
      <c r="Q14" s="484"/>
    </row>
    <row r="15" spans="1:20" ht="16.5" customHeight="1">
      <c r="B15" s="335" t="s">
        <v>28</v>
      </c>
      <c r="G15" s="274"/>
      <c r="H15" s="483">
        <f>H14/2</f>
        <v>0.375</v>
      </c>
      <c r="I15" s="483"/>
      <c r="J15" s="483">
        <f>H15*2+0.5</f>
        <v>1.25</v>
      </c>
      <c r="K15" s="483">
        <f>J15+K14</f>
        <v>2.25</v>
      </c>
      <c r="L15" s="483">
        <f t="shared" ref="L15:N15" si="7">K15+L14</f>
        <v>3.25</v>
      </c>
      <c r="M15" s="483">
        <f t="shared" si="7"/>
        <v>4.25</v>
      </c>
      <c r="N15" s="483">
        <f t="shared" si="7"/>
        <v>5.25</v>
      </c>
      <c r="O15" s="483"/>
      <c r="P15" s="483">
        <f>N15+P14/2+0.5</f>
        <v>5.875</v>
      </c>
      <c r="Q15" s="484"/>
    </row>
    <row r="16" spans="1:20" ht="16.5" customHeight="1">
      <c r="B16" s="335" t="s">
        <v>29</v>
      </c>
      <c r="E16" s="480">
        <f>WARA!G15</f>
        <v>0.185</v>
      </c>
      <c r="G16" s="274">
        <f>A30</f>
        <v>4</v>
      </c>
      <c r="H16" s="485">
        <f>1/(1+$E$16)^H15</f>
        <v>0.93833003660469871</v>
      </c>
      <c r="I16" s="486"/>
      <c r="J16" s="486">
        <f>1/(1+$E$16)^J15</f>
        <v>0.80882033594802816</v>
      </c>
      <c r="K16" s="485">
        <f t="shared" ref="K16:P16" si="8">1/(1+$E$16)^K15</f>
        <v>0.68254880670719675</v>
      </c>
      <c r="L16" s="485">
        <f t="shared" si="8"/>
        <v>0.57599055418328837</v>
      </c>
      <c r="M16" s="485">
        <f t="shared" si="8"/>
        <v>0.48606797821374537</v>
      </c>
      <c r="N16" s="485">
        <f t="shared" si="8"/>
        <v>0.41018394785970075</v>
      </c>
      <c r="O16" s="486"/>
      <c r="P16" s="485">
        <f t="shared" si="8"/>
        <v>0.36889663331603523</v>
      </c>
      <c r="Q16" s="484"/>
    </row>
    <row r="17" spans="1:21" ht="16.5" customHeight="1">
      <c r="B17" s="420" t="s">
        <v>101</v>
      </c>
      <c r="G17" s="274"/>
      <c r="H17" s="206">
        <f>H12*H16</f>
        <v>39.656817815737284</v>
      </c>
      <c r="I17" s="206"/>
      <c r="J17" s="206">
        <f t="shared" ref="J17:N17" si="9">J12*J16*J14</f>
        <v>44.261075781191188</v>
      </c>
      <c r="K17" s="206">
        <f t="shared" si="9"/>
        <v>33.910884176129159</v>
      </c>
      <c r="L17" s="206">
        <f t="shared" si="9"/>
        <v>23.084202449010569</v>
      </c>
      <c r="M17" s="206">
        <f t="shared" si="9"/>
        <v>13.636237733592742</v>
      </c>
      <c r="N17" s="206">
        <f t="shared" si="9"/>
        <v>5.1783181266807912</v>
      </c>
      <c r="O17" s="206"/>
      <c r="P17" s="206">
        <f>P12*P16*P14</f>
        <v>0.2037477473822509</v>
      </c>
    </row>
    <row r="18" spans="1:21" ht="16.5" customHeight="1">
      <c r="B18" s="420"/>
      <c r="G18" s="275"/>
      <c r="H18" s="293"/>
      <c r="I18" s="293"/>
      <c r="J18" s="293" t="s">
        <v>5</v>
      </c>
      <c r="K18" s="206"/>
      <c r="L18" s="293"/>
    </row>
    <row r="19" spans="1:21" ht="16.5" customHeight="1">
      <c r="B19" s="420"/>
      <c r="D19" s="335" t="s">
        <v>31</v>
      </c>
      <c r="G19" s="275"/>
      <c r="H19" s="276">
        <f>SUM(H17:P17)</f>
        <v>159.93128382972395</v>
      </c>
      <c r="I19" s="276"/>
      <c r="K19" s="206"/>
      <c r="L19" s="512"/>
      <c r="M19" s="293"/>
      <c r="N19" s="293"/>
      <c r="O19" s="293"/>
      <c r="P19" s="293"/>
      <c r="Q19" s="293"/>
    </row>
    <row r="20" spans="1:21" ht="16.5" customHeight="1">
      <c r="B20" s="420"/>
      <c r="D20" s="335" t="s">
        <v>91</v>
      </c>
      <c r="G20" s="274">
        <f>+A31</f>
        <v>5</v>
      </c>
      <c r="H20" s="276">
        <f>E39</f>
        <v>16.688116868275607</v>
      </c>
      <c r="I20" s="276"/>
      <c r="K20" s="206"/>
      <c r="L20" s="293"/>
      <c r="M20" s="293"/>
      <c r="N20" s="293"/>
      <c r="O20" s="293"/>
      <c r="P20" s="293"/>
      <c r="Q20" s="293"/>
      <c r="U20" s="491"/>
    </row>
    <row r="21" spans="1:21" ht="16.5" customHeight="1">
      <c r="B21" s="420"/>
      <c r="D21" s="420" t="str">
        <f>CONCATENATE("Fair Value of ",'Assumption Sheet'!$G$4, " ",'Table of Contents'!C6)</f>
        <v>Fair Value of XYZ Corporation Technology</v>
      </c>
      <c r="E21" s="420"/>
      <c r="G21" s="275"/>
      <c r="H21" s="492">
        <f>SUM(H19:H20)</f>
        <v>176.61940069799957</v>
      </c>
      <c r="I21" s="297"/>
      <c r="K21" s="206"/>
      <c r="L21" s="293"/>
      <c r="M21" s="293"/>
      <c r="N21" s="270"/>
      <c r="O21" s="270"/>
      <c r="P21" s="270"/>
      <c r="Q21" s="293"/>
      <c r="U21" s="491"/>
    </row>
    <row r="22" spans="1:21" ht="16.5" customHeight="1" thickBot="1">
      <c r="B22" s="420"/>
      <c r="K22" s="206"/>
      <c r="L22" s="293"/>
      <c r="M22" s="293"/>
      <c r="N22" s="293"/>
      <c r="O22" s="293"/>
      <c r="P22" s="293"/>
      <c r="Q22" s="293"/>
    </row>
    <row r="23" spans="1:21" ht="16.5" customHeight="1" thickBot="1">
      <c r="B23" s="420"/>
      <c r="D23" s="495" t="str">
        <f>CONCATENATE("Fair Value of ",'Assumption Sheet'!$G$4, " ",'Table of Contents'!C6," (rounded)")</f>
        <v>Fair Value of XYZ Corporation Technology (rounded)</v>
      </c>
      <c r="E23" s="496"/>
      <c r="F23" s="496"/>
      <c r="G23" s="497" t="s">
        <v>5</v>
      </c>
      <c r="H23" s="307">
        <f>ROUND((H21),1)</f>
        <v>176.6</v>
      </c>
      <c r="I23" s="308"/>
      <c r="K23" s="206"/>
      <c r="L23" s="293"/>
      <c r="M23" s="293"/>
      <c r="N23" s="293"/>
      <c r="O23" s="293"/>
      <c r="P23" s="293"/>
      <c r="Q23" s="293"/>
    </row>
    <row r="24" spans="1:21" ht="16.5" customHeight="1">
      <c r="B24" s="420"/>
      <c r="G24" s="275"/>
      <c r="K24" s="206"/>
      <c r="L24" s="293"/>
      <c r="M24" s="293"/>
      <c r="N24" s="293"/>
      <c r="O24" s="293"/>
      <c r="P24" s="293"/>
      <c r="Q24" s="293"/>
    </row>
    <row r="25" spans="1:21" s="293" customFormat="1" ht="16.5" customHeight="1">
      <c r="A25" s="434"/>
      <c r="B25" s="435"/>
      <c r="C25" s="434"/>
      <c r="D25" s="434"/>
      <c r="E25" s="434"/>
      <c r="F25" s="434"/>
      <c r="G25" s="499"/>
      <c r="H25" s="434"/>
      <c r="I25" s="434"/>
      <c r="J25" s="434"/>
      <c r="K25" s="374"/>
      <c r="L25" s="434"/>
      <c r="M25" s="434"/>
      <c r="N25" s="434"/>
      <c r="O25" s="434"/>
      <c r="P25" s="434"/>
      <c r="Q25" s="434"/>
      <c r="R25" s="434"/>
    </row>
    <row r="26" spans="1:21" s="318" customFormat="1" ht="16.5" customHeight="1">
      <c r="A26" s="318" t="s">
        <v>25</v>
      </c>
      <c r="L26" s="500"/>
      <c r="M26" s="500"/>
      <c r="N26" s="500"/>
      <c r="O26" s="500"/>
      <c r="P26" s="500"/>
      <c r="Q26" s="405"/>
    </row>
    <row r="27" spans="1:21" s="318" customFormat="1" ht="16.5" customHeight="1">
      <c r="A27" s="242">
        <v>1</v>
      </c>
      <c r="B27" s="318" t="s">
        <v>67</v>
      </c>
    </row>
    <row r="28" spans="1:21" s="318" customFormat="1" ht="16.5" customHeight="1">
      <c r="A28" s="242">
        <v>2</v>
      </c>
      <c r="B28" s="318" t="s">
        <v>149</v>
      </c>
    </row>
    <row r="29" spans="1:21" s="318" customFormat="1" ht="16.5" customHeight="1">
      <c r="A29" s="242">
        <v>3</v>
      </c>
      <c r="B29" s="318" t="s">
        <v>68</v>
      </c>
    </row>
    <row r="30" spans="1:21" s="318" customFormat="1" ht="16.5" customHeight="1">
      <c r="A30" s="242">
        <v>4</v>
      </c>
      <c r="B30" s="318" t="str">
        <f>"Based on an analysis of the weighted average returns for " &amp;'Assumption Sheet'!G4&amp; "'s assets.  Present value factors are adjusted to a mid-period convention.    "</f>
        <v xml:space="preserve">Based on an analysis of the weighted average returns for XYZ Corporation's assets.  Present value factors are adjusted to a mid-period convention.    </v>
      </c>
    </row>
    <row r="31" spans="1:21" ht="16.5" customHeight="1">
      <c r="A31" s="242">
        <v>5</v>
      </c>
      <c r="B31" s="530" t="s">
        <v>196</v>
      </c>
    </row>
    <row r="32" spans="1:21" ht="16.5" customHeight="1">
      <c r="B32" s="501"/>
    </row>
    <row r="33" spans="4:17" ht="16.5" customHeight="1">
      <c r="D33" s="502" t="s">
        <v>91</v>
      </c>
      <c r="E33" s="503"/>
    </row>
    <row r="34" spans="4:17" ht="16.5" customHeight="1">
      <c r="D34" s="504"/>
      <c r="E34" s="505"/>
    </row>
    <row r="35" spans="4:17" ht="16.5" customHeight="1">
      <c r="D35" s="506" t="s">
        <v>71</v>
      </c>
      <c r="E35" s="294">
        <f>H19</f>
        <v>159.93128382972395</v>
      </c>
    </row>
    <row r="36" spans="4:17" ht="16.5" customHeight="1">
      <c r="D36" s="506" t="s">
        <v>72</v>
      </c>
      <c r="E36" s="507">
        <v>15</v>
      </c>
    </row>
    <row r="37" spans="4:17" ht="16.5" customHeight="1">
      <c r="D37" s="506" t="s">
        <v>58</v>
      </c>
      <c r="E37" s="508">
        <f>E16</f>
        <v>0.185</v>
      </c>
    </row>
    <row r="38" spans="4:17" ht="16.5" customHeight="1">
      <c r="D38" s="506" t="s">
        <v>34</v>
      </c>
      <c r="E38" s="493">
        <f>E11</f>
        <v>0.26134999999999997</v>
      </c>
    </row>
    <row r="39" spans="4:17" ht="16.5" customHeight="1">
      <c r="D39" s="509" t="s">
        <v>91</v>
      </c>
      <c r="E39" s="510">
        <f>E35*(E36/(E36-((PV(E37,E36,-1)*(1+E37)^0.5)*E38))-1)</f>
        <v>16.688116868275607</v>
      </c>
    </row>
    <row r="40" spans="4:17" ht="16.5" customHeight="1">
      <c r="D40" s="511"/>
      <c r="E40" s="297"/>
    </row>
    <row r="42" spans="4:17" ht="16.5" customHeight="1">
      <c r="D42" s="487" t="s">
        <v>73</v>
      </c>
      <c r="E42" s="290"/>
      <c r="F42" s="290"/>
      <c r="G42" s="290"/>
      <c r="H42" s="290"/>
      <c r="I42" s="488"/>
      <c r="J42" s="290"/>
      <c r="K42" s="290"/>
      <c r="L42" s="290"/>
      <c r="M42" s="290"/>
      <c r="N42" s="290"/>
      <c r="O42" s="488"/>
      <c r="P42" s="488"/>
      <c r="Q42" s="489"/>
    </row>
    <row r="43" spans="4:17" ht="16.5" customHeight="1">
      <c r="D43" s="292" t="s">
        <v>145</v>
      </c>
      <c r="E43" s="531"/>
      <c r="F43" s="531" t="s">
        <v>147</v>
      </c>
      <c r="G43" s="293"/>
      <c r="H43" s="532">
        <v>1</v>
      </c>
      <c r="I43" s="267"/>
      <c r="J43" s="267">
        <f>H44</f>
        <v>0.875</v>
      </c>
      <c r="K43" s="267">
        <f t="shared" ref="K43:N43" si="10">J44</f>
        <v>0.70833333333333337</v>
      </c>
      <c r="L43" s="267">
        <f t="shared" si="10"/>
        <v>0.54166666666666674</v>
      </c>
      <c r="M43" s="267">
        <f t="shared" si="10"/>
        <v>0.37500000000000011</v>
      </c>
      <c r="N43" s="267">
        <f t="shared" si="10"/>
        <v>0.20833333333333345</v>
      </c>
      <c r="O43" s="267"/>
      <c r="P43" s="267">
        <f>N44</f>
        <v>4.1666666666666796E-2</v>
      </c>
      <c r="Q43" s="515"/>
    </row>
    <row r="44" spans="4:17" ht="16.5" customHeight="1">
      <c r="D44" s="292" t="s">
        <v>146</v>
      </c>
      <c r="E44" s="531" t="s">
        <v>148</v>
      </c>
      <c r="F44" s="531" t="s">
        <v>100</v>
      </c>
      <c r="G44" s="293"/>
      <c r="H44" s="267">
        <f>1-(F46*'Assumption Sheet'!G6)</f>
        <v>0.875</v>
      </c>
      <c r="I44" s="267"/>
      <c r="J44" s="267">
        <f>J43-F46</f>
        <v>0.70833333333333337</v>
      </c>
      <c r="K44" s="267">
        <f>K43-F46</f>
        <v>0.54166666666666674</v>
      </c>
      <c r="L44" s="267">
        <f>L43-F46</f>
        <v>0.37500000000000011</v>
      </c>
      <c r="M44" s="267">
        <f>M43-F46</f>
        <v>0.20833333333333345</v>
      </c>
      <c r="N44" s="267">
        <f>N43-F46</f>
        <v>4.1666666666666796E-2</v>
      </c>
      <c r="O44" s="267"/>
      <c r="P44" s="532">
        <v>0</v>
      </c>
      <c r="Q44" s="515"/>
    </row>
    <row r="45" spans="4:17" ht="16.5" customHeight="1">
      <c r="D45" s="292"/>
      <c r="E45" s="533"/>
      <c r="F45" s="293"/>
      <c r="G45" s="293"/>
      <c r="H45" s="267"/>
      <c r="I45" s="267"/>
      <c r="J45" s="267"/>
      <c r="K45" s="267"/>
      <c r="L45" s="267"/>
      <c r="M45" s="267"/>
      <c r="N45" s="267"/>
      <c r="O45" s="267"/>
      <c r="P45" s="267"/>
      <c r="Q45" s="534"/>
    </row>
    <row r="46" spans="4:17" ht="16.5" customHeight="1">
      <c r="D46" s="535" t="s">
        <v>41</v>
      </c>
      <c r="E46" s="536">
        <v>6</v>
      </c>
      <c r="F46" s="537">
        <f>1/E46</f>
        <v>0.16666666666666666</v>
      </c>
      <c r="G46" s="301"/>
      <c r="H46" s="538">
        <f t="shared" ref="H46:P46" si="11">AVERAGE(H43:H44)</f>
        <v>0.9375</v>
      </c>
      <c r="I46" s="539"/>
      <c r="J46" s="538">
        <f t="shared" si="11"/>
        <v>0.79166666666666674</v>
      </c>
      <c r="K46" s="538">
        <f t="shared" si="11"/>
        <v>0.625</v>
      </c>
      <c r="L46" s="538">
        <f t="shared" si="11"/>
        <v>0.45833333333333343</v>
      </c>
      <c r="M46" s="538">
        <f t="shared" si="11"/>
        <v>0.2916666666666668</v>
      </c>
      <c r="N46" s="538">
        <f t="shared" si="11"/>
        <v>0.12500000000000011</v>
      </c>
      <c r="O46" s="539"/>
      <c r="P46" s="538">
        <f t="shared" si="11"/>
        <v>2.0833333333333398E-2</v>
      </c>
      <c r="Q46" s="540"/>
    </row>
    <row r="47" spans="4:17" ht="16.5" customHeight="1">
      <c r="F47" s="284"/>
    </row>
  </sheetData>
  <printOptions horizontalCentered="1"/>
  <pageMargins left="0.5" right="0.5" top="0.5" bottom="0.5" header="0.3" footer="0.3"/>
  <pageSetup scale="76" orientation="landscape" r:id="rId1"/>
  <colBreaks count="1" manualBreakCount="1">
    <brk id="18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U33"/>
  <sheetViews>
    <sheetView showGridLines="0" view="pageBreakPreview" zoomScale="75" zoomScaleNormal="80" zoomScaleSheetLayoutView="75" workbookViewId="0"/>
  </sheetViews>
  <sheetFormatPr defaultRowHeight="16.5" customHeight="1"/>
  <cols>
    <col min="1" max="1" width="3.25" style="335" customWidth="1"/>
    <col min="2" max="3" width="2.375" style="335" customWidth="1"/>
    <col min="4" max="4" width="31.375" style="335" customWidth="1"/>
    <col min="5" max="5" width="7.375" style="335" bestFit="1" customWidth="1"/>
    <col min="6" max="6" width="41.5" style="335" customWidth="1"/>
    <col min="7" max="7" width="9.25" style="335" customWidth="1"/>
    <col min="8" max="8" width="5.75" style="335" bestFit="1" customWidth="1"/>
    <col min="9" max="9" width="16.125" style="335" customWidth="1"/>
    <col min="10" max="10" width="1" style="335" customWidth="1"/>
    <col min="11" max="11" width="3.25" style="335" customWidth="1"/>
    <col min="12" max="12" width="2.5" style="335" customWidth="1"/>
    <col min="13" max="14" width="9" style="335"/>
    <col min="15" max="15" width="25.625" style="335" bestFit="1" customWidth="1"/>
    <col min="16" max="16" width="9" style="335" customWidth="1"/>
    <col min="17" max="16384" width="9" style="335"/>
  </cols>
  <sheetData>
    <row r="1" spans="2:21" ht="16.5" customHeight="1">
      <c r="K1" s="293"/>
      <c r="L1" s="293"/>
      <c r="M1" s="293"/>
      <c r="N1" s="293"/>
      <c r="O1" s="541"/>
      <c r="P1" s="541"/>
      <c r="Q1" s="293"/>
      <c r="R1" s="293"/>
      <c r="S1" s="293"/>
      <c r="T1" s="293"/>
      <c r="U1" s="293"/>
    </row>
    <row r="2" spans="2:21" ht="16.5" customHeight="1">
      <c r="I2" s="542" t="s">
        <v>224</v>
      </c>
      <c r="J2" s="54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</row>
    <row r="3" spans="2:21" ht="16.5" customHeight="1">
      <c r="H3" s="416" t="s">
        <v>64</v>
      </c>
      <c r="I3" s="544" t="s">
        <v>139</v>
      </c>
      <c r="J3" s="545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</row>
    <row r="4" spans="2:21" ht="16.5" customHeight="1">
      <c r="I4" s="429"/>
    </row>
    <row r="5" spans="2:21" ht="16.5" customHeight="1">
      <c r="B5" s="335" t="str">
        <f>"Present Value of Cash Flows with "&amp;'Table of Contents'!C7&amp;" in Place"</f>
        <v>Present Value of Cash Flows with Noncompete Agreement in Place</v>
      </c>
      <c r="H5" s="274"/>
      <c r="I5" s="546">
        <f>'Noncompete - With'!J33</f>
        <v>2460.0593171197911</v>
      </c>
      <c r="J5" s="372"/>
    </row>
    <row r="6" spans="2:21" s="475" customFormat="1" ht="16.5" customHeight="1">
      <c r="H6" s="547"/>
      <c r="I6" s="548"/>
      <c r="J6" s="482"/>
      <c r="O6" s="335"/>
    </row>
    <row r="7" spans="2:21" ht="16.5" customHeight="1">
      <c r="B7" s="335" t="str">
        <f>"Present Value of Cash Flows without "&amp;'Table of Contents'!C7&amp;" in Place"</f>
        <v>Present Value of Cash Flows without Noncompete Agreement in Place</v>
      </c>
      <c r="C7" s="475"/>
      <c r="H7" s="274"/>
      <c r="I7" s="285">
        <f>'Noncompete - Without'!J36</f>
        <v>2264.4802074042755</v>
      </c>
      <c r="J7" s="276"/>
    </row>
    <row r="8" spans="2:21" ht="16.5" customHeight="1">
      <c r="B8" s="420"/>
      <c r="H8" s="412"/>
      <c r="I8" s="549"/>
      <c r="J8" s="206"/>
    </row>
    <row r="9" spans="2:21" s="475" customFormat="1" ht="16.5" customHeight="1">
      <c r="B9" s="420" t="str">
        <f>"Indicated Value of the "&amp;'Table of Contents'!C7&amp;""</f>
        <v>Indicated Value of the Noncompete Agreement</v>
      </c>
      <c r="H9" s="547"/>
      <c r="I9" s="276">
        <f>I5-I7</f>
        <v>195.57910971551564</v>
      </c>
      <c r="J9" s="276"/>
    </row>
    <row r="10" spans="2:21" ht="16.5" customHeight="1">
      <c r="H10" s="412"/>
    </row>
    <row r="11" spans="2:21" ht="16.5" customHeight="1">
      <c r="B11" s="335" t="s">
        <v>90</v>
      </c>
      <c r="H11" s="274"/>
      <c r="I11" s="591">
        <f>'Assumption Sheet'!G18</f>
        <v>0.15</v>
      </c>
      <c r="J11" s="550"/>
    </row>
    <row r="12" spans="2:21" ht="16.5" customHeight="1">
      <c r="H12" s="412"/>
      <c r="I12" s="276"/>
      <c r="J12" s="276"/>
    </row>
    <row r="13" spans="2:21" ht="16.5" customHeight="1">
      <c r="B13" s="420" t="str">
        <f>"Adjusted Value of the "&amp;'Table of Contents'!C7&amp;""</f>
        <v>Adjusted Value of the Noncompete Agreement</v>
      </c>
      <c r="H13" s="412"/>
      <c r="I13" s="206">
        <f>I11*I9</f>
        <v>29.336866457327346</v>
      </c>
      <c r="J13" s="206"/>
    </row>
    <row r="14" spans="2:21" ht="16.5" customHeight="1">
      <c r="H14" s="412"/>
      <c r="I14" s="206"/>
      <c r="J14" s="206"/>
    </row>
    <row r="15" spans="2:21" ht="16.5" customHeight="1">
      <c r="B15" s="335" t="s">
        <v>91</v>
      </c>
      <c r="H15" s="274">
        <f>+A22</f>
        <v>1</v>
      </c>
      <c r="I15" s="427">
        <f>E32</f>
        <v>3.0611712997321865</v>
      </c>
      <c r="J15" s="206"/>
      <c r="L15" s="276"/>
    </row>
    <row r="16" spans="2:21" ht="16.5" customHeight="1">
      <c r="H16" s="275"/>
      <c r="I16" s="276"/>
      <c r="J16" s="206"/>
    </row>
    <row r="17" spans="1:17" ht="16.5" customHeight="1" thickBot="1">
      <c r="B17" s="420" t="str">
        <f>"Fair Value of "&amp;'Table of Contents'!C7&amp;""</f>
        <v>Fair Value of Noncompete Agreement</v>
      </c>
      <c r="I17" s="389">
        <f>I15+I13</f>
        <v>32.398037757059534</v>
      </c>
      <c r="J17" s="206"/>
    </row>
    <row r="18" spans="1:17" s="475" customFormat="1" ht="16.5" customHeight="1" thickTop="1" thickBot="1">
      <c r="I18" s="482"/>
      <c r="J18" s="482"/>
    </row>
    <row r="19" spans="1:17" ht="16.5" customHeight="1" thickBot="1">
      <c r="B19" s="495" t="str">
        <f>B17 &amp; " (Rounded)"</f>
        <v>Fair Value of Noncompete Agreement (Rounded)</v>
      </c>
      <c r="C19" s="496"/>
      <c r="D19" s="496"/>
      <c r="E19" s="496"/>
      <c r="F19" s="496"/>
      <c r="G19" s="551"/>
      <c r="H19" s="551"/>
      <c r="I19" s="307">
        <f>ROUND(I17,1)</f>
        <v>32.4</v>
      </c>
      <c r="J19" s="293"/>
    </row>
    <row r="20" spans="1:17" s="293" customFormat="1" ht="16.5" customHeight="1">
      <c r="A20" s="434"/>
      <c r="B20" s="434"/>
      <c r="C20" s="434"/>
      <c r="D20" s="434"/>
      <c r="E20" s="434"/>
      <c r="F20" s="434"/>
      <c r="G20" s="434"/>
      <c r="H20" s="434"/>
      <c r="I20" s="434"/>
      <c r="J20" s="434"/>
    </row>
    <row r="21" spans="1:17" s="318" customFormat="1" ht="16.5" customHeight="1">
      <c r="A21" s="335" t="s">
        <v>25</v>
      </c>
      <c r="B21" s="293"/>
      <c r="C21" s="293"/>
      <c r="D21" s="293"/>
      <c r="E21" s="293"/>
      <c r="F21" s="293"/>
      <c r="G21" s="293"/>
      <c r="H21" s="293"/>
      <c r="I21" s="293"/>
      <c r="J21" s="500"/>
      <c r="K21" s="500"/>
      <c r="L21" s="500"/>
      <c r="M21" s="500"/>
      <c r="N21" s="500"/>
      <c r="O21" s="500"/>
      <c r="P21" s="500"/>
      <c r="Q21" s="500"/>
    </row>
    <row r="22" spans="1:17" ht="33" customHeight="1">
      <c r="A22" s="552">
        <v>1</v>
      </c>
      <c r="B22" s="583" t="s">
        <v>196</v>
      </c>
      <c r="C22" s="583"/>
      <c r="D22" s="583"/>
      <c r="E22" s="583"/>
      <c r="F22" s="583"/>
      <c r="G22" s="583"/>
      <c r="H22" s="583"/>
      <c r="I22" s="583"/>
      <c r="J22" s="293"/>
      <c r="K22" s="293"/>
      <c r="L22" s="293"/>
      <c r="M22" s="293"/>
      <c r="N22" s="293"/>
      <c r="O22" s="293"/>
      <c r="P22" s="293"/>
      <c r="Q22" s="293"/>
    </row>
    <row r="23" spans="1:17" s="293" customFormat="1" ht="16.5" customHeight="1">
      <c r="B23" s="553"/>
      <c r="C23" s="500"/>
      <c r="D23" s="500"/>
      <c r="E23" s="500"/>
    </row>
    <row r="24" spans="1:17" s="293" customFormat="1" ht="16.5" customHeight="1">
      <c r="B24" s="500"/>
      <c r="D24" s="500"/>
      <c r="E24" s="500"/>
      <c r="I24" s="554"/>
      <c r="J24" s="554"/>
    </row>
    <row r="25" spans="1:17" ht="16.5" customHeight="1">
      <c r="B25" s="293"/>
      <c r="C25" s="293"/>
      <c r="D25" s="293"/>
      <c r="E25" s="293"/>
      <c r="F25" s="293"/>
      <c r="G25" s="293"/>
      <c r="H25" s="293"/>
      <c r="I25" s="206"/>
      <c r="J25" s="206"/>
      <c r="K25" s="293"/>
    </row>
    <row r="26" spans="1:17" ht="16.5" customHeight="1">
      <c r="B26" s="502" t="s">
        <v>91</v>
      </c>
      <c r="C26" s="290"/>
      <c r="D26" s="290"/>
      <c r="E26" s="503"/>
      <c r="F26" s="293"/>
    </row>
    <row r="27" spans="1:17" ht="16.5" customHeight="1">
      <c r="B27" s="504"/>
      <c r="C27" s="293"/>
      <c r="D27" s="293"/>
      <c r="E27" s="505"/>
      <c r="F27" s="293"/>
    </row>
    <row r="28" spans="1:17" ht="16.5" customHeight="1">
      <c r="B28" s="506" t="s">
        <v>71</v>
      </c>
      <c r="C28" s="293"/>
      <c r="D28" s="293"/>
      <c r="E28" s="294">
        <f>I13</f>
        <v>29.336866457327346</v>
      </c>
      <c r="F28" s="293"/>
    </row>
    <row r="29" spans="1:17" ht="16.5" customHeight="1">
      <c r="B29" s="506" t="s">
        <v>72</v>
      </c>
      <c r="C29" s="293"/>
      <c r="D29" s="293"/>
      <c r="E29" s="294">
        <v>15</v>
      </c>
      <c r="F29" s="293"/>
    </row>
    <row r="30" spans="1:17" ht="16.5" customHeight="1">
      <c r="B30" s="506" t="s">
        <v>58</v>
      </c>
      <c r="C30" s="293"/>
      <c r="D30" s="293"/>
      <c r="E30" s="508">
        <f>WARA!G16</f>
        <v>0.185</v>
      </c>
      <c r="F30" s="293"/>
    </row>
    <row r="31" spans="1:17" ht="16.5" customHeight="1">
      <c r="B31" s="506" t="s">
        <v>34</v>
      </c>
      <c r="C31" s="293"/>
      <c r="D31" s="293"/>
      <c r="E31" s="493">
        <f>Blended_Tax</f>
        <v>0.26134999999999997</v>
      </c>
      <c r="F31" s="293"/>
    </row>
    <row r="32" spans="1:17" ht="16.5" customHeight="1">
      <c r="B32" s="509" t="s">
        <v>91</v>
      </c>
      <c r="C32" s="301"/>
      <c r="D32" s="301"/>
      <c r="E32" s="510">
        <f>E28*(E29/(E29-((PV(E30,E29,-1)*(1+E30)^0.5)*E31))-1)</f>
        <v>3.0611712997321865</v>
      </c>
      <c r="F32" s="293"/>
    </row>
    <row r="33" spans="6:6" ht="16.5" customHeight="1">
      <c r="F33" s="293"/>
    </row>
  </sheetData>
  <mergeCells count="1">
    <mergeCell ref="B22:I22"/>
  </mergeCells>
  <printOptions horizontalCentered="1"/>
  <pageMargins left="0.5" right="0.5" top="0.5" bottom="0.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2:S38"/>
  <sheetViews>
    <sheetView showGridLines="0" topLeftCell="A34" zoomScale="85" zoomScaleNormal="85" zoomScaleSheetLayoutView="75" workbookViewId="0">
      <selection activeCell="C56" sqref="C56"/>
    </sheetView>
  </sheetViews>
  <sheetFormatPr defaultRowHeight="16.5" customHeight="1"/>
  <cols>
    <col min="1" max="1" width="3.25" style="335" customWidth="1"/>
    <col min="2" max="3" width="2.375" style="335" customWidth="1"/>
    <col min="4" max="5" width="9" style="335"/>
    <col min="6" max="6" width="22" style="335" customWidth="1"/>
    <col min="7" max="7" width="8.5" style="335" customWidth="1"/>
    <col min="8" max="8" width="5.875" style="335" bestFit="1" customWidth="1"/>
    <col min="9" max="9" width="1.75" style="335" customWidth="1"/>
    <col min="10" max="10" width="15.125" style="335" customWidth="1"/>
    <col min="11" max="11" width="2.625" style="335" customWidth="1"/>
    <col min="12" max="16" width="15.125" style="335" customWidth="1"/>
    <col min="17" max="17" width="2.625" style="335" customWidth="1"/>
    <col min="18" max="18" width="14.375" style="335" bestFit="1" customWidth="1"/>
    <col min="19" max="19" width="3.5" style="335" customWidth="1"/>
    <col min="20" max="20" width="3.75" style="335" customWidth="1"/>
    <col min="21" max="16384" width="9" style="335"/>
  </cols>
  <sheetData>
    <row r="2" spans="2:18" ht="16.5" customHeight="1">
      <c r="I2" s="452"/>
      <c r="J2" s="555" t="str">
        <f>IRR!N2</f>
        <v>Apr 1 to Dec 31</v>
      </c>
      <c r="K2" s="452"/>
      <c r="L2" s="526" t="str">
        <f>"Projections for the Years Ending " &amp; TEXT('Assumption Sheet'!$G$9,"mmmm dd") &amp; ", (1)"</f>
        <v>Projections for the Years Ending December 31, (1)</v>
      </c>
      <c r="M2" s="556"/>
      <c r="N2" s="556"/>
      <c r="O2" s="556"/>
      <c r="P2" s="556"/>
      <c r="Q2" s="557"/>
      <c r="R2" s="524" t="str">
        <f>TEXT('Assumption Sheet'!$G$9+1,"MMM D")&amp;" to "&amp;TEXT(R28*365,"MMM D")</f>
        <v>Jan 1 to Mar 31</v>
      </c>
    </row>
    <row r="3" spans="2:18" ht="16.5" customHeight="1">
      <c r="H3" s="416" t="s">
        <v>64</v>
      </c>
      <c r="I3" s="558"/>
      <c r="J3" s="559" t="str">
        <f>IRR!N3</f>
        <v>2020</v>
      </c>
      <c r="K3" s="558"/>
      <c r="L3" s="560">
        <f>J3+1</f>
        <v>2021</v>
      </c>
      <c r="M3" s="561">
        <f t="shared" ref="M3:P3" si="0">L3+1</f>
        <v>2022</v>
      </c>
      <c r="N3" s="561">
        <f t="shared" si="0"/>
        <v>2023</v>
      </c>
      <c r="O3" s="561">
        <f t="shared" si="0"/>
        <v>2024</v>
      </c>
      <c r="P3" s="562">
        <f t="shared" si="0"/>
        <v>2025</v>
      </c>
      <c r="Q3" s="563"/>
      <c r="R3" s="559">
        <f>P3+1</f>
        <v>2026</v>
      </c>
    </row>
    <row r="5" spans="2:18" ht="16.5" customHeight="1">
      <c r="B5" s="420" t="s">
        <v>92</v>
      </c>
      <c r="G5" s="475"/>
      <c r="H5" s="412"/>
      <c r="I5" s="372"/>
      <c r="J5" s="372">
        <f>IRR!N5</f>
        <v>4068.75</v>
      </c>
      <c r="K5" s="372"/>
      <c r="L5" s="372">
        <f>IRR!P5</f>
        <v>6238.7499999999991</v>
      </c>
      <c r="M5" s="372">
        <f>IRR!Q5</f>
        <v>7174.5624999999982</v>
      </c>
      <c r="N5" s="372">
        <f>IRR!R5</f>
        <v>7892.0187499999984</v>
      </c>
      <c r="O5" s="372">
        <f>IRR!S5</f>
        <v>8681.2206249999981</v>
      </c>
      <c r="P5" s="372">
        <f>IRR!T5</f>
        <v>9115.2816562499993</v>
      </c>
      <c r="Q5" s="372"/>
      <c r="R5" s="372">
        <f>+IRR!U5*25%</f>
        <v>2392.7614347656249</v>
      </c>
    </row>
    <row r="6" spans="2:18" ht="16.5" customHeight="1">
      <c r="G6" s="475"/>
      <c r="H6" s="412"/>
      <c r="I6" s="206"/>
      <c r="J6" s="206"/>
      <c r="K6" s="206"/>
      <c r="L6" s="206"/>
      <c r="M6" s="206"/>
      <c r="N6" s="206"/>
      <c r="O6" s="206"/>
      <c r="P6" s="206"/>
      <c r="Q6" s="206"/>
      <c r="R6" s="206"/>
    </row>
    <row r="7" spans="2:18" ht="16.5" customHeight="1">
      <c r="B7" s="335" t="s">
        <v>61</v>
      </c>
      <c r="G7" s="475"/>
      <c r="H7" s="412"/>
      <c r="I7" s="206"/>
      <c r="J7" s="427">
        <f>IRR!N9</f>
        <v>2441.25</v>
      </c>
      <c r="K7" s="374"/>
      <c r="L7" s="427">
        <f>IRR!P9</f>
        <v>3743.2499999999991</v>
      </c>
      <c r="M7" s="427">
        <f>IRR!Q9</f>
        <v>4304.7374999999984</v>
      </c>
      <c r="N7" s="427">
        <f>IRR!R9</f>
        <v>4735.2112499999985</v>
      </c>
      <c r="O7" s="427">
        <f>IRR!S9</f>
        <v>5208.7323749999987</v>
      </c>
      <c r="P7" s="427">
        <f>IRR!T9</f>
        <v>5469.1689937499996</v>
      </c>
      <c r="Q7" s="374"/>
      <c r="R7" s="427">
        <f>+R5*(1-R9)</f>
        <v>1435.656860859375</v>
      </c>
    </row>
    <row r="8" spans="2:18" ht="16.5" customHeight="1">
      <c r="B8" s="335" t="s">
        <v>2</v>
      </c>
      <c r="G8" s="475"/>
      <c r="H8" s="412"/>
      <c r="I8" s="206"/>
      <c r="J8" s="286">
        <f t="shared" ref="J8:R8" si="1">J5-J7</f>
        <v>1627.5</v>
      </c>
      <c r="K8" s="280"/>
      <c r="L8" s="286">
        <f t="shared" si="1"/>
        <v>2495.5</v>
      </c>
      <c r="M8" s="286">
        <f t="shared" si="1"/>
        <v>2869.8249999999998</v>
      </c>
      <c r="N8" s="286">
        <f t="shared" si="1"/>
        <v>3156.8074999999999</v>
      </c>
      <c r="O8" s="286">
        <f t="shared" si="1"/>
        <v>3472.4882499999994</v>
      </c>
      <c r="P8" s="286">
        <f t="shared" si="1"/>
        <v>3646.1126624999997</v>
      </c>
      <c r="Q8" s="280"/>
      <c r="R8" s="286">
        <f t="shared" si="1"/>
        <v>957.10457390624993</v>
      </c>
    </row>
    <row r="9" spans="2:18" ht="16.5" customHeight="1">
      <c r="B9" s="475"/>
      <c r="C9" s="475" t="s">
        <v>95</v>
      </c>
      <c r="D9" s="475"/>
      <c r="E9" s="475"/>
      <c r="F9" s="475"/>
      <c r="G9" s="475"/>
      <c r="H9" s="547"/>
      <c r="I9" s="564"/>
      <c r="J9" s="480">
        <f t="shared" ref="J9:P9" si="2">J8/J5</f>
        <v>0.4</v>
      </c>
      <c r="K9" s="480"/>
      <c r="L9" s="480">
        <f t="shared" si="2"/>
        <v>0.40000000000000008</v>
      </c>
      <c r="M9" s="480">
        <f t="shared" si="2"/>
        <v>0.40000000000000008</v>
      </c>
      <c r="N9" s="480">
        <f t="shared" si="2"/>
        <v>0.40000000000000008</v>
      </c>
      <c r="O9" s="480">
        <f t="shared" si="2"/>
        <v>0.4</v>
      </c>
      <c r="P9" s="480">
        <f t="shared" si="2"/>
        <v>0.4</v>
      </c>
      <c r="Q9" s="480"/>
      <c r="R9" s="480">
        <f>P9</f>
        <v>0.4</v>
      </c>
    </row>
    <row r="10" spans="2:18" ht="16.5" customHeight="1">
      <c r="G10" s="475"/>
      <c r="H10" s="412"/>
      <c r="I10" s="425"/>
      <c r="J10" s="372"/>
      <c r="K10" s="372"/>
      <c r="L10" s="372"/>
      <c r="M10" s="372"/>
      <c r="N10" s="372"/>
      <c r="O10" s="372"/>
      <c r="P10" s="372"/>
      <c r="Q10" s="372"/>
      <c r="R10" s="372"/>
    </row>
    <row r="11" spans="2:18" ht="16.5" customHeight="1">
      <c r="B11" s="335" t="s">
        <v>33</v>
      </c>
      <c r="G11" s="475"/>
      <c r="H11" s="412"/>
      <c r="I11" s="425"/>
      <c r="J11" s="206">
        <f>IRR!N16</f>
        <v>610.3125</v>
      </c>
      <c r="K11" s="206"/>
      <c r="L11" s="206">
        <f>IRR!P16</f>
        <v>935.81249999999989</v>
      </c>
      <c r="M11" s="206">
        <f>IRR!Q16</f>
        <v>1076.1843749999998</v>
      </c>
      <c r="N11" s="206">
        <f>IRR!R16</f>
        <v>1183.8028124999998</v>
      </c>
      <c r="O11" s="206">
        <f>IRR!S16</f>
        <v>1302.1830937499999</v>
      </c>
      <c r="P11" s="206">
        <f>IRR!T16</f>
        <v>1367.2922484375001</v>
      </c>
      <c r="Q11" s="206"/>
      <c r="R11" s="206">
        <f>R8-R13</f>
        <v>358.91421521484381</v>
      </c>
    </row>
    <row r="12" spans="2:18" ht="16.5" customHeight="1">
      <c r="G12" s="475"/>
      <c r="H12" s="412"/>
      <c r="I12" s="425"/>
      <c r="J12" s="427"/>
      <c r="K12" s="374"/>
      <c r="L12" s="427"/>
      <c r="M12" s="427"/>
      <c r="N12" s="427"/>
      <c r="O12" s="427"/>
      <c r="P12" s="427"/>
      <c r="Q12" s="374"/>
      <c r="R12" s="427"/>
    </row>
    <row r="13" spans="2:18" ht="16.5" customHeight="1">
      <c r="B13" s="420" t="s">
        <v>12</v>
      </c>
      <c r="G13" s="475"/>
      <c r="H13" s="412"/>
      <c r="I13" s="425"/>
      <c r="J13" s="206">
        <f>J8-J11</f>
        <v>1017.1875</v>
      </c>
      <c r="K13" s="206"/>
      <c r="L13" s="206">
        <f t="shared" ref="L13:P13" si="3">L8-L11</f>
        <v>1559.6875</v>
      </c>
      <c r="M13" s="206">
        <f t="shared" si="3"/>
        <v>1793.640625</v>
      </c>
      <c r="N13" s="206">
        <f t="shared" si="3"/>
        <v>1973.0046875</v>
      </c>
      <c r="O13" s="206">
        <f t="shared" si="3"/>
        <v>2170.3051562499995</v>
      </c>
      <c r="P13" s="206">
        <f t="shared" si="3"/>
        <v>2278.8204140624994</v>
      </c>
      <c r="Q13" s="206"/>
      <c r="R13" s="206">
        <f>R14*R5</f>
        <v>598.19035869140612</v>
      </c>
    </row>
    <row r="14" spans="2:18" ht="16.5" customHeight="1">
      <c r="C14" s="475" t="s">
        <v>7</v>
      </c>
      <c r="G14" s="475"/>
      <c r="H14" s="412"/>
      <c r="I14" s="267"/>
      <c r="J14" s="267">
        <f t="shared" ref="J14:P14" si="4">J13/J5</f>
        <v>0.25</v>
      </c>
      <c r="K14" s="267"/>
      <c r="L14" s="267">
        <f t="shared" si="4"/>
        <v>0.25000000000000006</v>
      </c>
      <c r="M14" s="267">
        <f t="shared" si="4"/>
        <v>0.25000000000000006</v>
      </c>
      <c r="N14" s="267">
        <f t="shared" si="4"/>
        <v>0.25000000000000006</v>
      </c>
      <c r="O14" s="267">
        <f t="shared" si="4"/>
        <v>0.25</v>
      </c>
      <c r="P14" s="267">
        <f t="shared" si="4"/>
        <v>0.24999999999999994</v>
      </c>
      <c r="Q14" s="267"/>
      <c r="R14" s="267">
        <f>P14</f>
        <v>0.24999999999999994</v>
      </c>
    </row>
    <row r="15" spans="2:18" ht="16.5" customHeight="1">
      <c r="G15" s="475"/>
      <c r="H15" s="412"/>
      <c r="I15" s="425"/>
      <c r="J15" s="206"/>
      <c r="K15" s="206"/>
      <c r="L15" s="206"/>
      <c r="M15" s="206"/>
      <c r="N15" s="206"/>
      <c r="O15" s="206"/>
      <c r="P15" s="206"/>
      <c r="Q15" s="206"/>
      <c r="R15" s="206"/>
    </row>
    <row r="16" spans="2:18" ht="16.5" customHeight="1">
      <c r="B16" s="335" t="s">
        <v>44</v>
      </c>
      <c r="G16" s="475"/>
      <c r="H16" s="274"/>
      <c r="I16" s="206"/>
      <c r="J16" s="276">
        <f>SUM(IRR!N21:N21)</f>
        <v>104.625</v>
      </c>
      <c r="K16" s="276"/>
      <c r="L16" s="276">
        <f>SUM(IRR!P21:P21)</f>
        <v>300.64464285714286</v>
      </c>
      <c r="M16" s="276">
        <f>SUM(IRR!Q21:Q21)</f>
        <v>457.13454081632648</v>
      </c>
      <c r="N16" s="276">
        <f>SUM(IRR!R21:R21)</f>
        <v>586.97539158163261</v>
      </c>
      <c r="O16" s="276">
        <f>SUM(IRR!S21:S21)</f>
        <v>715.55602908163257</v>
      </c>
      <c r="P16" s="276">
        <f>SUM(IRR!T21:T21)</f>
        <v>822.48182970663254</v>
      </c>
      <c r="Q16" s="276"/>
      <c r="R16" s="276">
        <f>SUM(IRR!T21:T21)*25%</f>
        <v>205.62045742665813</v>
      </c>
    </row>
    <row r="17" spans="2:18" ht="16.5" customHeight="1">
      <c r="B17" s="420" t="s">
        <v>13</v>
      </c>
      <c r="G17" s="475"/>
      <c r="H17" s="412"/>
      <c r="I17" s="206"/>
      <c r="J17" s="286">
        <f>J13-J16</f>
        <v>912.5625</v>
      </c>
      <c r="K17" s="280"/>
      <c r="L17" s="286">
        <f t="shared" ref="L17:P17" si="5">L13-L16</f>
        <v>1259.0428571428572</v>
      </c>
      <c r="M17" s="286">
        <f t="shared" si="5"/>
        <v>1336.5060841836735</v>
      </c>
      <c r="N17" s="286">
        <f t="shared" si="5"/>
        <v>1386.0292959183676</v>
      </c>
      <c r="O17" s="286">
        <f t="shared" si="5"/>
        <v>1454.7491271683671</v>
      </c>
      <c r="P17" s="286">
        <f t="shared" si="5"/>
        <v>1456.3385843558667</v>
      </c>
      <c r="Q17" s="280"/>
      <c r="R17" s="286">
        <f>R13-R16</f>
        <v>392.56990126474795</v>
      </c>
    </row>
    <row r="18" spans="2:18" s="475" customFormat="1" ht="16.5" customHeight="1">
      <c r="C18" s="475" t="s">
        <v>96</v>
      </c>
      <c r="H18" s="547"/>
      <c r="I18" s="565"/>
      <c r="J18" s="480">
        <f t="shared" ref="J18:R18" si="6">J17/J5</f>
        <v>0.22428571428571428</v>
      </c>
      <c r="K18" s="480"/>
      <c r="L18" s="480">
        <f t="shared" si="6"/>
        <v>0.20181011535048807</v>
      </c>
      <c r="M18" s="480">
        <f t="shared" si="6"/>
        <v>0.18628398375283145</v>
      </c>
      <c r="N18" s="480">
        <f t="shared" si="6"/>
        <v>0.17562417675684916</v>
      </c>
      <c r="O18" s="480">
        <f t="shared" si="6"/>
        <v>0.1675742605802473</v>
      </c>
      <c r="P18" s="480">
        <f t="shared" si="6"/>
        <v>0.15976890668620328</v>
      </c>
      <c r="Q18" s="480"/>
      <c r="R18" s="480">
        <f t="shared" si="6"/>
        <v>0.16406562541543171</v>
      </c>
    </row>
    <row r="19" spans="2:18" s="475" customFormat="1" ht="16.5" customHeight="1">
      <c r="H19" s="547"/>
      <c r="I19" s="565"/>
      <c r="J19" s="482"/>
      <c r="K19" s="482"/>
      <c r="L19" s="482"/>
      <c r="M19" s="482"/>
      <c r="N19" s="482"/>
      <c r="O19" s="482"/>
      <c r="P19" s="482"/>
      <c r="Q19" s="482"/>
      <c r="R19" s="482"/>
    </row>
    <row r="20" spans="2:18" ht="16.5" customHeight="1">
      <c r="B20" s="335" t="s">
        <v>18</v>
      </c>
      <c r="G20" s="482">
        <f>Blended_Tax</f>
        <v>0.26134999999999997</v>
      </c>
      <c r="H20" s="566"/>
      <c r="I20" s="206"/>
      <c r="J20" s="276">
        <f t="shared" ref="J20:R20" si="7">J17*$G$20</f>
        <v>238.49820937499999</v>
      </c>
      <c r="K20" s="276"/>
      <c r="L20" s="276">
        <f t="shared" si="7"/>
        <v>329.05085071428567</v>
      </c>
      <c r="M20" s="276">
        <f t="shared" si="7"/>
        <v>349.29586510140302</v>
      </c>
      <c r="N20" s="276">
        <f t="shared" si="7"/>
        <v>362.23875648826532</v>
      </c>
      <c r="O20" s="276">
        <f t="shared" si="7"/>
        <v>380.19868438545268</v>
      </c>
      <c r="P20" s="276">
        <f t="shared" si="7"/>
        <v>380.61408902140573</v>
      </c>
      <c r="Q20" s="276"/>
      <c r="R20" s="276">
        <f t="shared" si="7"/>
        <v>102.59814369554186</v>
      </c>
    </row>
    <row r="21" spans="2:18" ht="16.5" customHeight="1">
      <c r="B21" s="420" t="s">
        <v>14</v>
      </c>
      <c r="G21" s="482"/>
      <c r="H21" s="412"/>
      <c r="I21" s="206"/>
      <c r="J21" s="286">
        <f t="shared" ref="J21:R21" si="8">J17-J20</f>
        <v>674.06429062500001</v>
      </c>
      <c r="K21" s="280"/>
      <c r="L21" s="286">
        <f t="shared" si="8"/>
        <v>929.99200642857159</v>
      </c>
      <c r="M21" s="286">
        <f t="shared" si="8"/>
        <v>987.21021908227044</v>
      </c>
      <c r="N21" s="286">
        <f t="shared" si="8"/>
        <v>1023.7905394301022</v>
      </c>
      <c r="O21" s="286">
        <f t="shared" si="8"/>
        <v>1074.5504427829144</v>
      </c>
      <c r="P21" s="286">
        <f t="shared" si="8"/>
        <v>1075.7244953344609</v>
      </c>
      <c r="Q21" s="280"/>
      <c r="R21" s="286">
        <f t="shared" si="8"/>
        <v>289.97175756920609</v>
      </c>
    </row>
    <row r="22" spans="2:18" s="475" customFormat="1" ht="16.5" customHeight="1">
      <c r="G22" s="482"/>
      <c r="H22" s="547"/>
      <c r="I22" s="565"/>
      <c r="J22" s="482"/>
      <c r="K22" s="482"/>
      <c r="L22" s="482"/>
      <c r="M22" s="482"/>
      <c r="N22" s="482"/>
      <c r="O22" s="482"/>
      <c r="P22" s="482"/>
      <c r="Q22" s="482"/>
      <c r="R22" s="482"/>
    </row>
    <row r="23" spans="2:18" ht="16.5" customHeight="1">
      <c r="B23" s="335" t="s">
        <v>59</v>
      </c>
      <c r="G23" s="482"/>
      <c r="H23" s="412"/>
      <c r="I23" s="206"/>
      <c r="J23" s="276">
        <f t="shared" ref="J23:R23" si="9">J16</f>
        <v>104.625</v>
      </c>
      <c r="K23" s="276"/>
      <c r="L23" s="276">
        <f t="shared" si="9"/>
        <v>300.64464285714286</v>
      </c>
      <c r="M23" s="276">
        <f t="shared" si="9"/>
        <v>457.13454081632648</v>
      </c>
      <c r="N23" s="276">
        <f t="shared" si="9"/>
        <v>586.97539158163261</v>
      </c>
      <c r="O23" s="276">
        <f t="shared" si="9"/>
        <v>715.55602908163257</v>
      </c>
      <c r="P23" s="276">
        <f t="shared" si="9"/>
        <v>822.48182970663254</v>
      </c>
      <c r="Q23" s="276"/>
      <c r="R23" s="276">
        <f t="shared" si="9"/>
        <v>205.62045742665813</v>
      </c>
    </row>
    <row r="24" spans="2:18" ht="16.5" customHeight="1">
      <c r="B24" s="335" t="s">
        <v>220</v>
      </c>
      <c r="G24" s="482">
        <f>IRR!G30</f>
        <v>0.1</v>
      </c>
      <c r="H24" s="566"/>
      <c r="I24" s="206"/>
      <c r="J24" s="276">
        <f>IRR!N30</f>
        <v>5.4249999999999545</v>
      </c>
      <c r="K24" s="276"/>
      <c r="L24" s="276">
        <f>IRR!P30</f>
        <v>81.375</v>
      </c>
      <c r="M24" s="276">
        <f>IRR!Q30</f>
        <v>93.581249999999841</v>
      </c>
      <c r="N24" s="276">
        <f>IRR!R30</f>
        <v>71.745625000000018</v>
      </c>
      <c r="O24" s="276">
        <f>IRR!S30</f>
        <v>78.920187499999997</v>
      </c>
      <c r="P24" s="276">
        <f>IRR!T30</f>
        <v>43.406103125000072</v>
      </c>
      <c r="Q24" s="276"/>
      <c r="R24" s="276">
        <f>+((R5/(1-'Assumption Sheet'!G6))-P5)*'Noncompete - With'!G24</f>
        <v>45.576408281250046</v>
      </c>
    </row>
    <row r="25" spans="2:18" ht="16.5" customHeight="1">
      <c r="B25" s="335" t="s">
        <v>15</v>
      </c>
      <c r="G25" s="482"/>
      <c r="H25" s="567"/>
      <c r="I25" s="206"/>
      <c r="J25" s="276">
        <f>SUM(IRR!N31:N31)</f>
        <v>406.875</v>
      </c>
      <c r="K25" s="276"/>
      <c r="L25" s="276">
        <f>SUM(IRR!P31:P31)</f>
        <v>623.875</v>
      </c>
      <c r="M25" s="276">
        <f>SUM(IRR!Q31:Q31)</f>
        <v>717.45624999999984</v>
      </c>
      <c r="N25" s="276">
        <f>SUM(IRR!R31:R31)</f>
        <v>789.20187499999986</v>
      </c>
      <c r="O25" s="276">
        <f>SUM(IRR!S31:S31)</f>
        <v>868.12206249999986</v>
      </c>
      <c r="P25" s="276">
        <f>SUM(IRR!T31:T31)</f>
        <v>911.52816562499993</v>
      </c>
      <c r="Q25" s="276"/>
      <c r="R25" s="276">
        <f>+R5*5%</f>
        <v>119.63807173828125</v>
      </c>
    </row>
    <row r="26" spans="2:18" ht="16.5" customHeight="1">
      <c r="B26" s="420" t="s">
        <v>98</v>
      </c>
      <c r="G26" s="482"/>
      <c r="H26" s="412"/>
      <c r="I26" s="206"/>
      <c r="J26" s="286">
        <f t="shared" ref="J26:R26" si="10">J21+J23-J24-J25</f>
        <v>366.38929062500006</v>
      </c>
      <c r="K26" s="280"/>
      <c r="L26" s="286">
        <f t="shared" si="10"/>
        <v>525.38664928571438</v>
      </c>
      <c r="M26" s="286">
        <f t="shared" si="10"/>
        <v>633.30725989859718</v>
      </c>
      <c r="N26" s="286">
        <f t="shared" si="10"/>
        <v>749.81843101173479</v>
      </c>
      <c r="O26" s="286">
        <f t="shared" si="10"/>
        <v>843.06422186454733</v>
      </c>
      <c r="P26" s="286">
        <f t="shared" si="10"/>
        <v>943.27205629109335</v>
      </c>
      <c r="Q26" s="280"/>
      <c r="R26" s="286">
        <f t="shared" si="10"/>
        <v>330.37773497633287</v>
      </c>
    </row>
    <row r="27" spans="2:18" ht="16.5" customHeight="1">
      <c r="G27" s="482"/>
      <c r="H27" s="412"/>
      <c r="I27" s="206"/>
      <c r="J27" s="206"/>
      <c r="K27" s="206"/>
      <c r="L27" s="206"/>
      <c r="M27" s="206"/>
      <c r="N27" s="206"/>
      <c r="O27" s="206"/>
      <c r="P27" s="206"/>
      <c r="Q27" s="206"/>
      <c r="R27" s="206"/>
    </row>
    <row r="28" spans="2:18" ht="16.5" customHeight="1">
      <c r="B28" s="335" t="s">
        <v>219</v>
      </c>
      <c r="G28" s="482"/>
      <c r="H28" s="412"/>
      <c r="I28" s="206"/>
      <c r="J28" s="483">
        <f>'Assumption Sheet'!G6</f>
        <v>0.75</v>
      </c>
      <c r="K28" s="206"/>
      <c r="L28" s="483">
        <v>1</v>
      </c>
      <c r="M28" s="483">
        <f>L28</f>
        <v>1</v>
      </c>
      <c r="N28" s="483">
        <f t="shared" ref="N28:P28" si="11">M28</f>
        <v>1</v>
      </c>
      <c r="O28" s="483">
        <f t="shared" si="11"/>
        <v>1</v>
      </c>
      <c r="P28" s="483">
        <f t="shared" si="11"/>
        <v>1</v>
      </c>
      <c r="Q28" s="483"/>
      <c r="R28" s="483">
        <f>1-J28</f>
        <v>0.25</v>
      </c>
    </row>
    <row r="29" spans="2:18" ht="16.5" customHeight="1">
      <c r="B29" s="335" t="s">
        <v>28</v>
      </c>
      <c r="G29" s="482"/>
      <c r="H29" s="412"/>
      <c r="I29" s="568"/>
      <c r="J29" s="483">
        <f>J28/2</f>
        <v>0.375</v>
      </c>
      <c r="K29" s="483"/>
      <c r="L29" s="483">
        <f>J28+L28/2</f>
        <v>1.25</v>
      </c>
      <c r="M29" s="483">
        <f>L29+M28</f>
        <v>2.25</v>
      </c>
      <c r="N29" s="483">
        <f t="shared" ref="N29:P29" si="12">M29+N28</f>
        <v>3.25</v>
      </c>
      <c r="O29" s="483">
        <f t="shared" si="12"/>
        <v>4.25</v>
      </c>
      <c r="P29" s="483">
        <f t="shared" si="12"/>
        <v>5.25</v>
      </c>
      <c r="Q29" s="483"/>
      <c r="R29" s="483">
        <f>P29+R28/2+0.5</f>
        <v>5.875</v>
      </c>
    </row>
    <row r="30" spans="2:18" ht="16.5" customHeight="1">
      <c r="B30" s="335" t="s">
        <v>29</v>
      </c>
      <c r="G30" s="482">
        <f>WARA!G16</f>
        <v>0.185</v>
      </c>
      <c r="H30" s="274">
        <f>A37</f>
        <v>2</v>
      </c>
      <c r="I30" s="568"/>
      <c r="J30" s="287">
        <f t="shared" ref="J30:P30" si="13">1/(1+$G$30)^J29</f>
        <v>0.93833003660469871</v>
      </c>
      <c r="K30" s="287"/>
      <c r="L30" s="287">
        <f t="shared" si="13"/>
        <v>0.80882033594802816</v>
      </c>
      <c r="M30" s="287">
        <f t="shared" si="13"/>
        <v>0.68254880670719675</v>
      </c>
      <c r="N30" s="287">
        <f t="shared" si="13"/>
        <v>0.57599055418328837</v>
      </c>
      <c r="O30" s="287">
        <f t="shared" si="13"/>
        <v>0.48606797821374537</v>
      </c>
      <c r="P30" s="287">
        <f t="shared" si="13"/>
        <v>0.41018394785970075</v>
      </c>
      <c r="Q30" s="287"/>
      <c r="R30" s="287">
        <f>1/(1+$G$30)^R29</f>
        <v>0.36889663331603523</v>
      </c>
    </row>
    <row r="31" spans="2:18" ht="16.5" customHeight="1">
      <c r="B31" s="420" t="s">
        <v>30</v>
      </c>
      <c r="I31" s="206"/>
      <c r="J31" s="286">
        <f>J26*J30</f>
        <v>343.79407648372592</v>
      </c>
      <c r="K31" s="280"/>
      <c r="L31" s="286">
        <f t="shared" ref="L31:P31" si="14">L26*L30</f>
        <v>424.94340617788038</v>
      </c>
      <c r="M31" s="286">
        <f t="shared" si="14"/>
        <v>432.26311452279202</v>
      </c>
      <c r="N31" s="286">
        <f t="shared" si="14"/>
        <v>431.88833361529288</v>
      </c>
      <c r="O31" s="286">
        <f t="shared" si="14"/>
        <v>409.78652182604498</v>
      </c>
      <c r="P31" s="286">
        <f t="shared" si="14"/>
        <v>386.91505595521852</v>
      </c>
      <c r="Q31" s="280"/>
      <c r="R31" s="286">
        <f>R26*R30*R28</f>
        <v>30.468808538836633</v>
      </c>
    </row>
    <row r="32" spans="2:18" ht="16.5" customHeight="1" thickBot="1"/>
    <row r="33" spans="1:19" ht="16.5" customHeight="1" thickBot="1">
      <c r="B33" s="495" t="s">
        <v>212</v>
      </c>
      <c r="C33" s="496"/>
      <c r="D33" s="496"/>
      <c r="E33" s="496"/>
      <c r="F33" s="496"/>
      <c r="G33" s="551"/>
      <c r="H33" s="496"/>
      <c r="I33" s="551"/>
      <c r="J33" s="569">
        <f>(SUM(I31:R31))</f>
        <v>2460.0593171197911</v>
      </c>
      <c r="K33" s="570"/>
    </row>
    <row r="34" spans="1:19" s="293" customFormat="1" ht="16.5" customHeight="1">
      <c r="A34" s="434"/>
      <c r="B34" s="434"/>
      <c r="C34" s="434"/>
      <c r="D34" s="434"/>
      <c r="E34" s="434"/>
      <c r="F34" s="434"/>
      <c r="G34" s="434"/>
      <c r="H34" s="434"/>
      <c r="I34" s="374"/>
      <c r="J34" s="434"/>
      <c r="K34" s="434"/>
      <c r="L34" s="434"/>
      <c r="M34" s="434"/>
      <c r="N34" s="434"/>
      <c r="O34" s="434"/>
      <c r="P34" s="434"/>
      <c r="Q34" s="434"/>
      <c r="R34" s="434"/>
      <c r="S34" s="434"/>
    </row>
    <row r="35" spans="1:19" ht="16.5" customHeight="1">
      <c r="A35" s="335" t="s">
        <v>129</v>
      </c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</row>
    <row r="36" spans="1:19" ht="16.5" customHeight="1">
      <c r="A36" s="275">
        <v>1</v>
      </c>
      <c r="B36" s="293" t="s">
        <v>150</v>
      </c>
    </row>
    <row r="37" spans="1:19" ht="16.5" customHeight="1">
      <c r="A37" s="275">
        <v>2</v>
      </c>
      <c r="B37" s="335" t="str">
        <f>"Based an analysis of the weighted average returns for "&amp;'Assumption Sheet'!$G$4&amp;"'s assets.  Present value factors are adjusted to a mid-period convention."</f>
        <v>Based an analysis of the weighted average returns for XYZ Corporation's assets.  Present value factors are adjusted to a mid-period convention.</v>
      </c>
    </row>
    <row r="38" spans="1:19" ht="16.5" customHeight="1">
      <c r="B38" s="318"/>
    </row>
  </sheetData>
  <printOptions horizontalCentered="1"/>
  <pageMargins left="0.5" right="0.5" top="0.5" bottom="0.5" header="0.3" footer="0.3"/>
  <pageSetup scale="73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2:U41"/>
  <sheetViews>
    <sheetView showGridLines="0" view="pageBreakPreview" zoomScale="75" zoomScaleNormal="80" zoomScaleSheetLayoutView="75" workbookViewId="0">
      <selection activeCell="R24" sqref="R24"/>
    </sheetView>
  </sheetViews>
  <sheetFormatPr defaultRowHeight="16.5" customHeight="1"/>
  <cols>
    <col min="1" max="1" width="3.25" style="6" customWidth="1"/>
    <col min="2" max="3" width="2.375" style="6" customWidth="1"/>
    <col min="4" max="5" width="9" style="6"/>
    <col min="6" max="6" width="22.25" style="6" customWidth="1"/>
    <col min="7" max="7" width="8.125" style="6" customWidth="1"/>
    <col min="8" max="8" width="5.875" style="6" bestFit="1" customWidth="1"/>
    <col min="9" max="9" width="1.75" style="6" customWidth="1"/>
    <col min="10" max="10" width="15.125" style="6" customWidth="1"/>
    <col min="11" max="11" width="2.625" style="6" customWidth="1"/>
    <col min="12" max="16" width="15.125" style="6" customWidth="1"/>
    <col min="17" max="17" width="2.625" style="6" customWidth="1"/>
    <col min="18" max="18" width="14.375" style="6" bestFit="1" customWidth="1"/>
    <col min="19" max="19" width="3.5" style="6" customWidth="1"/>
    <col min="20" max="20" width="3.75" style="6" customWidth="1"/>
    <col min="21" max="16384" width="9" style="6"/>
  </cols>
  <sheetData>
    <row r="2" spans="2:21" ht="16.5" customHeight="1">
      <c r="I2" s="117"/>
      <c r="J2" s="571" t="str">
        <f>IRR!N2</f>
        <v>Apr 1 to Dec 31</v>
      </c>
      <c r="K2" s="572"/>
      <c r="L2" s="573" t="str">
        <f>"Projections for the Years Ending " &amp; TEXT('Assumption Sheet'!$G$9,"mmmm dd") &amp; ", (1)"</f>
        <v>Projections for the Years Ending December 31, (1)</v>
      </c>
      <c r="M2" s="574"/>
      <c r="N2" s="574"/>
      <c r="O2" s="574"/>
      <c r="P2" s="574"/>
      <c r="Q2" s="575"/>
      <c r="R2" s="576" t="str">
        <f>TEXT('Assumption Sheet'!$G$9+1,"MMM D")&amp;" to "&amp;TEXT(R31*365,"MMM D")</f>
        <v>Jan 1 to Mar 31</v>
      </c>
    </row>
    <row r="3" spans="2:21" ht="16.5" customHeight="1">
      <c r="H3" s="8" t="s">
        <v>64</v>
      </c>
      <c r="I3" s="118"/>
      <c r="J3" s="119" t="str">
        <f>IRR!N3</f>
        <v>2020</v>
      </c>
      <c r="K3" s="118"/>
      <c r="L3" s="120">
        <f>J3+1</f>
        <v>2021</v>
      </c>
      <c r="M3" s="121">
        <f t="shared" ref="M3:P3" si="0">L3+1</f>
        <v>2022</v>
      </c>
      <c r="N3" s="121">
        <f t="shared" si="0"/>
        <v>2023</v>
      </c>
      <c r="O3" s="121">
        <f t="shared" si="0"/>
        <v>2024</v>
      </c>
      <c r="P3" s="122">
        <f t="shared" si="0"/>
        <v>2025</v>
      </c>
      <c r="Q3" s="123"/>
      <c r="R3" s="119">
        <f>P3+1</f>
        <v>2026</v>
      </c>
    </row>
    <row r="5" spans="2:21" ht="16.5" customHeight="1">
      <c r="B5" s="5" t="s">
        <v>92</v>
      </c>
      <c r="G5" s="111"/>
      <c r="H5" s="7"/>
      <c r="I5" s="23"/>
      <c r="J5" s="23">
        <f>IRR!N5</f>
        <v>4068.75</v>
      </c>
      <c r="K5" s="23"/>
      <c r="L5" s="23">
        <f>IRR!P5</f>
        <v>6238.7499999999991</v>
      </c>
      <c r="M5" s="23">
        <f>IRR!Q5</f>
        <v>7174.5624999999982</v>
      </c>
      <c r="N5" s="23">
        <f>IRR!R5</f>
        <v>7892.0187499999984</v>
      </c>
      <c r="O5" s="23">
        <f>IRR!S5</f>
        <v>8681.2206249999981</v>
      </c>
      <c r="P5" s="23">
        <f>IRR!T5</f>
        <v>9115.2816562499993</v>
      </c>
      <c r="Q5" s="23"/>
      <c r="R5" s="23">
        <f>+IRR!U5*25%</f>
        <v>2392.7614347656249</v>
      </c>
    </row>
    <row r="6" spans="2:21" ht="16.5" customHeight="1">
      <c r="F6" s="107"/>
      <c r="G6" s="111"/>
      <c r="H6" s="7"/>
      <c r="I6" s="13"/>
      <c r="J6" s="23"/>
      <c r="K6" s="23"/>
      <c r="L6" s="23"/>
      <c r="M6" s="23"/>
      <c r="N6" s="23"/>
      <c r="O6" s="23"/>
      <c r="P6" s="23"/>
      <c r="Q6" s="23"/>
      <c r="R6" s="23"/>
    </row>
    <row r="7" spans="2:21" ht="16.5" customHeight="1">
      <c r="B7" s="6" t="s">
        <v>93</v>
      </c>
      <c r="G7" s="111"/>
      <c r="H7" s="11">
        <f>A39</f>
        <v>1</v>
      </c>
      <c r="I7" s="15"/>
      <c r="J7" s="10">
        <v>2.9999999999999968E-2</v>
      </c>
      <c r="K7" s="10"/>
      <c r="L7" s="10">
        <v>0.05</v>
      </c>
      <c r="M7" s="10">
        <v>0.08</v>
      </c>
      <c r="N7" s="10">
        <v>7.0000000000000007E-2</v>
      </c>
      <c r="O7" s="10">
        <v>0.04</v>
      </c>
      <c r="P7" s="10">
        <v>0.01</v>
      </c>
      <c r="Q7" s="10"/>
      <c r="R7" s="10">
        <v>0</v>
      </c>
    </row>
    <row r="8" spans="2:21" ht="16.5" customHeight="1">
      <c r="B8" s="5" t="s">
        <v>94</v>
      </c>
      <c r="G8" s="111"/>
      <c r="H8" s="7"/>
      <c r="I8" s="9"/>
      <c r="J8" s="17">
        <f t="shared" ref="J8:R8" si="1">J5*(1-J7)</f>
        <v>3946.6875000000005</v>
      </c>
      <c r="K8" s="29"/>
      <c r="L8" s="17">
        <f>L5*(1-L7)</f>
        <v>5926.8124999999991</v>
      </c>
      <c r="M8" s="17">
        <f t="shared" si="1"/>
        <v>6600.5974999999989</v>
      </c>
      <c r="N8" s="17">
        <f t="shared" si="1"/>
        <v>7339.5774374999983</v>
      </c>
      <c r="O8" s="17">
        <f t="shared" si="1"/>
        <v>8333.9717999999975</v>
      </c>
      <c r="P8" s="17">
        <f t="shared" si="1"/>
        <v>9024.1288396874988</v>
      </c>
      <c r="Q8" s="29"/>
      <c r="R8" s="17">
        <f t="shared" si="1"/>
        <v>2392.7614347656249</v>
      </c>
    </row>
    <row r="9" spans="2:21" ht="16.5" customHeight="1">
      <c r="G9" s="111"/>
      <c r="H9" s="7"/>
      <c r="I9" s="9"/>
      <c r="J9" s="9"/>
      <c r="K9" s="9"/>
      <c r="L9" s="9"/>
      <c r="M9" s="9"/>
      <c r="N9" s="9"/>
      <c r="O9" s="9"/>
      <c r="P9" s="9"/>
      <c r="Q9" s="9"/>
      <c r="R9" s="9"/>
    </row>
    <row r="10" spans="2:21" ht="16.5" customHeight="1">
      <c r="B10" s="6" t="s">
        <v>61</v>
      </c>
      <c r="G10" s="111"/>
      <c r="H10" s="7"/>
      <c r="I10" s="9"/>
      <c r="J10" s="36">
        <f>(1-J12)*'Noncompete - Without'!J8</f>
        <v>2368.0125000000003</v>
      </c>
      <c r="K10" s="19"/>
      <c r="L10" s="36">
        <f>(1-L12)*'Noncompete - Without'!L8</f>
        <v>3556.0874999999992</v>
      </c>
      <c r="M10" s="36">
        <f>(1-M12)*'Noncompete - Without'!M8</f>
        <v>3960.3584999999994</v>
      </c>
      <c r="N10" s="36">
        <f>(1-N12)*'Noncompete - Without'!N8</f>
        <v>4403.7464624999984</v>
      </c>
      <c r="O10" s="36">
        <f>(1-O12)*'Noncompete - Without'!O8</f>
        <v>5000.3830799999987</v>
      </c>
      <c r="P10" s="36">
        <f>(1-P12)*'Noncompete - Without'!P8</f>
        <v>5414.4773038124995</v>
      </c>
      <c r="Q10" s="19"/>
      <c r="R10" s="36">
        <f>(1-R12)*'Noncompete - Without'!R8</f>
        <v>1435.656860859375</v>
      </c>
    </row>
    <row r="11" spans="2:21" ht="16.5" customHeight="1">
      <c r="B11" s="6" t="s">
        <v>2</v>
      </c>
      <c r="G11" s="111"/>
      <c r="H11" s="7"/>
      <c r="I11" s="9"/>
      <c r="J11" s="17">
        <f t="shared" ref="J11:R11" si="2">J8-J10</f>
        <v>1578.6750000000002</v>
      </c>
      <c r="K11" s="29"/>
      <c r="L11" s="17">
        <f>L8-L10</f>
        <v>2370.7249999999999</v>
      </c>
      <c r="M11" s="17">
        <f t="shared" si="2"/>
        <v>2640.2389999999996</v>
      </c>
      <c r="N11" s="17">
        <f t="shared" si="2"/>
        <v>2935.8309749999999</v>
      </c>
      <c r="O11" s="17">
        <f t="shared" si="2"/>
        <v>3333.5887199999988</v>
      </c>
      <c r="P11" s="17">
        <f t="shared" si="2"/>
        <v>3609.6515358749994</v>
      </c>
      <c r="Q11" s="29"/>
      <c r="R11" s="17">
        <f t="shared" si="2"/>
        <v>957.10457390624993</v>
      </c>
    </row>
    <row r="12" spans="2:21" ht="16.5" customHeight="1">
      <c r="B12" s="111"/>
      <c r="C12" s="111" t="s">
        <v>95</v>
      </c>
      <c r="D12" s="111"/>
      <c r="E12" s="111"/>
      <c r="F12" s="111"/>
      <c r="G12" s="111"/>
      <c r="H12" s="113"/>
      <c r="I12" s="124"/>
      <c r="J12" s="125">
        <v>0.4</v>
      </c>
      <c r="K12" s="125"/>
      <c r="L12" s="125">
        <f>J12</f>
        <v>0.4</v>
      </c>
      <c r="M12" s="125">
        <f>L12</f>
        <v>0.4</v>
      </c>
      <c r="N12" s="125">
        <f t="shared" ref="N12:P12" si="3">M12</f>
        <v>0.4</v>
      </c>
      <c r="O12" s="125">
        <f t="shared" si="3"/>
        <v>0.4</v>
      </c>
      <c r="P12" s="125">
        <f t="shared" si="3"/>
        <v>0.4</v>
      </c>
      <c r="Q12" s="125"/>
      <c r="R12" s="125">
        <f>P12</f>
        <v>0.4</v>
      </c>
    </row>
    <row r="13" spans="2:21" ht="16.5" customHeight="1">
      <c r="G13" s="111"/>
      <c r="H13" s="7"/>
      <c r="I13" s="13"/>
      <c r="J13" s="23"/>
      <c r="K13" s="23"/>
      <c r="L13" s="23"/>
      <c r="M13" s="23"/>
      <c r="N13" s="23"/>
      <c r="O13" s="23"/>
      <c r="P13" s="23"/>
      <c r="Q13" s="23"/>
      <c r="R13" s="23"/>
    </row>
    <row r="14" spans="2:21" ht="16.5" customHeight="1">
      <c r="B14" s="6" t="s">
        <v>33</v>
      </c>
      <c r="G14" s="111"/>
      <c r="H14" s="7"/>
      <c r="I14" s="13"/>
      <c r="J14" s="9">
        <f>J8*U14</f>
        <v>592.00312500000007</v>
      </c>
      <c r="K14" s="9"/>
      <c r="L14" s="9">
        <f>L8*$U$14</f>
        <v>889.0218749999998</v>
      </c>
      <c r="M14" s="9">
        <f t="shared" ref="M14:R14" si="4">M8*$U$14</f>
        <v>990.08962499999984</v>
      </c>
      <c r="N14" s="9">
        <f t="shared" si="4"/>
        <v>1100.9366156249996</v>
      </c>
      <c r="O14" s="9">
        <f t="shared" si="4"/>
        <v>1250.0957699999997</v>
      </c>
      <c r="P14" s="9">
        <f t="shared" si="4"/>
        <v>1353.6193259531249</v>
      </c>
      <c r="Q14" s="9"/>
      <c r="R14" s="9">
        <f t="shared" si="4"/>
        <v>358.91421521484375</v>
      </c>
      <c r="U14" s="165">
        <v>0.15</v>
      </c>
    </row>
    <row r="15" spans="2:21" ht="16.5" customHeight="1">
      <c r="G15" s="111"/>
      <c r="H15" s="7"/>
      <c r="I15" s="13"/>
      <c r="J15" s="36"/>
      <c r="K15" s="19"/>
      <c r="L15" s="36"/>
      <c r="M15" s="36"/>
      <c r="N15" s="36"/>
      <c r="O15" s="36"/>
      <c r="P15" s="36"/>
      <c r="Q15" s="19"/>
      <c r="R15" s="36"/>
    </row>
    <row r="16" spans="2:21" ht="16.5" customHeight="1">
      <c r="B16" s="5" t="s">
        <v>12</v>
      </c>
      <c r="G16" s="111"/>
      <c r="H16" s="7"/>
      <c r="I16" s="13"/>
      <c r="J16" s="9">
        <f t="shared" ref="J16:R16" si="5">J11-SUM(J14:J15)</f>
        <v>986.67187500000011</v>
      </c>
      <c r="K16" s="9"/>
      <c r="L16" s="9">
        <f t="shared" si="5"/>
        <v>1481.703125</v>
      </c>
      <c r="M16" s="9">
        <f t="shared" si="5"/>
        <v>1650.1493749999997</v>
      </c>
      <c r="N16" s="9">
        <f t="shared" si="5"/>
        <v>1834.8943593750002</v>
      </c>
      <c r="O16" s="9">
        <f t="shared" si="5"/>
        <v>2083.4929499999989</v>
      </c>
      <c r="P16" s="9">
        <f t="shared" si="5"/>
        <v>2256.0322099218747</v>
      </c>
      <c r="Q16" s="9"/>
      <c r="R16" s="9">
        <f t="shared" si="5"/>
        <v>598.19035869140612</v>
      </c>
    </row>
    <row r="17" spans="2:18" ht="16.5" customHeight="1">
      <c r="C17" s="111" t="s">
        <v>7</v>
      </c>
      <c r="G17" s="111"/>
      <c r="H17" s="7"/>
      <c r="I17" s="27"/>
      <c r="J17" s="27">
        <f t="shared" ref="J17:R17" si="6">J16/J8</f>
        <v>0.25</v>
      </c>
      <c r="K17" s="27"/>
      <c r="L17" s="27">
        <f t="shared" si="6"/>
        <v>0.25000000000000006</v>
      </c>
      <c r="M17" s="27">
        <f t="shared" si="6"/>
        <v>0.25</v>
      </c>
      <c r="N17" s="27">
        <f t="shared" si="6"/>
        <v>0.25000000000000011</v>
      </c>
      <c r="O17" s="27">
        <f t="shared" si="6"/>
        <v>0.24999999999999994</v>
      </c>
      <c r="P17" s="27">
        <f t="shared" si="6"/>
        <v>0.25</v>
      </c>
      <c r="Q17" s="27"/>
      <c r="R17" s="27">
        <f t="shared" si="6"/>
        <v>0.24999999999999994</v>
      </c>
    </row>
    <row r="18" spans="2:18" ht="16.5" customHeight="1">
      <c r="G18" s="111"/>
      <c r="H18" s="7"/>
      <c r="I18" s="13"/>
      <c r="J18" s="9"/>
      <c r="K18" s="9"/>
      <c r="L18" s="9"/>
      <c r="M18" s="9"/>
      <c r="N18" s="9"/>
      <c r="O18" s="9"/>
      <c r="P18" s="9"/>
      <c r="Q18" s="9"/>
      <c r="R18" s="9"/>
    </row>
    <row r="19" spans="2:18" ht="16.5" customHeight="1">
      <c r="B19" s="6" t="s">
        <v>44</v>
      </c>
      <c r="G19" s="111"/>
      <c r="H19" s="11"/>
      <c r="I19" s="9"/>
      <c r="J19" s="16">
        <f>SUM(IRR!N21:N21)</f>
        <v>104.625</v>
      </c>
      <c r="K19" s="16"/>
      <c r="L19" s="16">
        <f>SUM(IRR!P21:P21)</f>
        <v>300.64464285714286</v>
      </c>
      <c r="M19" s="16">
        <f>SUM(IRR!Q21:Q21)</f>
        <v>457.13454081632648</v>
      </c>
      <c r="N19" s="16">
        <f>SUM(IRR!R21:R21)</f>
        <v>586.97539158163261</v>
      </c>
      <c r="O19" s="16">
        <f>SUM(IRR!S21:S21)</f>
        <v>715.55602908163257</v>
      </c>
      <c r="P19" s="16">
        <f>SUM(IRR!T21:T21)</f>
        <v>822.48182970663254</v>
      </c>
      <c r="Q19" s="16"/>
      <c r="R19" s="16">
        <f>SUM(IRR!U21:U21)*25%</f>
        <v>223.04614909072066</v>
      </c>
    </row>
    <row r="20" spans="2:18" ht="16.5" customHeight="1">
      <c r="B20" s="5" t="s">
        <v>13</v>
      </c>
      <c r="G20" s="111"/>
      <c r="H20" s="7"/>
      <c r="I20" s="9"/>
      <c r="J20" s="17">
        <f t="shared" ref="J20:R20" si="7">J16-J19</f>
        <v>882.04687500000011</v>
      </c>
      <c r="K20" s="29"/>
      <c r="L20" s="17">
        <f t="shared" si="7"/>
        <v>1181.0584821428572</v>
      </c>
      <c r="M20" s="17">
        <f t="shared" si="7"/>
        <v>1193.0148341836732</v>
      </c>
      <c r="N20" s="17">
        <f t="shared" si="7"/>
        <v>1247.9189677933678</v>
      </c>
      <c r="O20" s="17">
        <f t="shared" si="7"/>
        <v>1367.9369209183665</v>
      </c>
      <c r="P20" s="17">
        <f t="shared" si="7"/>
        <v>1433.5503802152421</v>
      </c>
      <c r="Q20" s="29"/>
      <c r="R20" s="17">
        <f t="shared" si="7"/>
        <v>375.14420960068549</v>
      </c>
    </row>
    <row r="21" spans="2:18" s="111" customFormat="1" ht="16.5" customHeight="1">
      <c r="C21" s="111" t="s">
        <v>96</v>
      </c>
      <c r="H21" s="113"/>
      <c r="I21" s="110"/>
      <c r="J21" s="112">
        <f t="shared" ref="J21:R21" si="8">J20/J8</f>
        <v>0.22349042709867453</v>
      </c>
      <c r="K21" s="112"/>
      <c r="L21" s="112">
        <f t="shared" si="8"/>
        <v>0.19927380563209268</v>
      </c>
      <c r="M21" s="112">
        <f t="shared" si="8"/>
        <v>0.18074346060090368</v>
      </c>
      <c r="N21" s="112">
        <f t="shared" si="8"/>
        <v>0.17002599651274108</v>
      </c>
      <c r="O21" s="112">
        <f t="shared" si="8"/>
        <v>0.16413985477109089</v>
      </c>
      <c r="P21" s="112">
        <f t="shared" si="8"/>
        <v>0.15885748150121548</v>
      </c>
      <c r="Q21" s="112"/>
      <c r="R21" s="112">
        <f t="shared" si="8"/>
        <v>0.15678295552161117</v>
      </c>
    </row>
    <row r="22" spans="2:18" s="111" customFormat="1" ht="16.5" customHeight="1">
      <c r="H22" s="113"/>
      <c r="I22" s="110"/>
      <c r="J22" s="112"/>
      <c r="K22" s="112"/>
      <c r="L22" s="112"/>
      <c r="M22" s="112"/>
      <c r="N22" s="112"/>
      <c r="O22" s="112"/>
      <c r="P22" s="112"/>
      <c r="Q22" s="112"/>
      <c r="R22" s="112"/>
    </row>
    <row r="23" spans="2:18" ht="16.5" customHeight="1">
      <c r="B23" s="6" t="s">
        <v>18</v>
      </c>
      <c r="G23" s="112">
        <f>Blended_Tax</f>
        <v>0.26134999999999997</v>
      </c>
      <c r="H23" s="109"/>
      <c r="I23" s="9"/>
      <c r="J23" s="16">
        <f t="shared" ref="J23:R23" si="9">J20*$G$23</f>
        <v>230.52295078125002</v>
      </c>
      <c r="K23" s="16"/>
      <c r="L23" s="16">
        <f t="shared" si="9"/>
        <v>308.66963430803571</v>
      </c>
      <c r="M23" s="16">
        <f t="shared" si="9"/>
        <v>311.79442691390295</v>
      </c>
      <c r="N23" s="16">
        <f t="shared" si="9"/>
        <v>326.14362223279664</v>
      </c>
      <c r="O23" s="16">
        <f t="shared" si="9"/>
        <v>357.51031428201503</v>
      </c>
      <c r="P23" s="16">
        <f t="shared" si="9"/>
        <v>374.65839186925348</v>
      </c>
      <c r="Q23" s="16"/>
      <c r="R23" s="16">
        <f t="shared" si="9"/>
        <v>98.043939179139144</v>
      </c>
    </row>
    <row r="24" spans="2:18" ht="16.5" customHeight="1">
      <c r="B24" s="5" t="s">
        <v>14</v>
      </c>
      <c r="G24" s="112"/>
      <c r="H24" s="7"/>
      <c r="I24" s="9"/>
      <c r="J24" s="17">
        <f t="shared" ref="J24:R24" si="10">J20-J23</f>
        <v>651.52392421875015</v>
      </c>
      <c r="K24" s="29"/>
      <c r="L24" s="17">
        <f t="shared" si="10"/>
        <v>872.38884783482149</v>
      </c>
      <c r="M24" s="17">
        <f t="shared" si="10"/>
        <v>881.22040726977025</v>
      </c>
      <c r="N24" s="17">
        <f t="shared" si="10"/>
        <v>921.77534556057117</v>
      </c>
      <c r="O24" s="17">
        <f t="shared" si="10"/>
        <v>1010.4266066363514</v>
      </c>
      <c r="P24" s="17">
        <f t="shared" si="10"/>
        <v>1058.8919883459885</v>
      </c>
      <c r="Q24" s="29"/>
      <c r="R24" s="17">
        <f t="shared" si="10"/>
        <v>277.10027042154633</v>
      </c>
    </row>
    <row r="25" spans="2:18" s="111" customFormat="1" ht="16.5" customHeight="1">
      <c r="G25" s="112"/>
      <c r="H25" s="113"/>
      <c r="I25" s="110"/>
      <c r="J25" s="112"/>
      <c r="K25" s="112"/>
      <c r="L25" s="112"/>
      <c r="M25" s="112"/>
      <c r="N25" s="112"/>
      <c r="O25" s="112"/>
      <c r="P25" s="112"/>
      <c r="Q25" s="112"/>
      <c r="R25" s="112"/>
    </row>
    <row r="26" spans="2:18" ht="16.5" customHeight="1">
      <c r="B26" s="6" t="s">
        <v>59</v>
      </c>
      <c r="G26" s="112"/>
      <c r="H26" s="7"/>
      <c r="I26" s="9"/>
      <c r="J26" s="16">
        <f t="shared" ref="J26:R26" si="11">J19</f>
        <v>104.625</v>
      </c>
      <c r="K26" s="16"/>
      <c r="L26" s="16">
        <f t="shared" si="11"/>
        <v>300.64464285714286</v>
      </c>
      <c r="M26" s="16">
        <f t="shared" si="11"/>
        <v>457.13454081632648</v>
      </c>
      <c r="N26" s="16">
        <f t="shared" si="11"/>
        <v>586.97539158163261</v>
      </c>
      <c r="O26" s="16">
        <f t="shared" si="11"/>
        <v>715.55602908163257</v>
      </c>
      <c r="P26" s="16">
        <f t="shared" si="11"/>
        <v>822.48182970663254</v>
      </c>
      <c r="Q26" s="16"/>
      <c r="R26" s="16">
        <f t="shared" si="11"/>
        <v>223.04614909072066</v>
      </c>
    </row>
    <row r="27" spans="2:18" ht="16.5" customHeight="1">
      <c r="B27" s="6" t="s">
        <v>97</v>
      </c>
      <c r="G27" s="112">
        <f>'Noncompete - With'!G24</f>
        <v>0.1</v>
      </c>
      <c r="H27" s="109"/>
      <c r="I27" s="9"/>
      <c r="J27" s="16">
        <f>(((J8/'Assumption Sheet'!G6)-'Hist IS (All)'!K5)*G27)</f>
        <v>-16.27499999999991</v>
      </c>
      <c r="K27" s="16"/>
      <c r="L27" s="16">
        <f>+(L8-IRR!L5)*'Noncompete - Without'!G27</f>
        <v>50.181249999999913</v>
      </c>
      <c r="M27" s="16">
        <f t="shared" ref="M27:P27" si="12">(M8-L8)*$G$27</f>
        <v>67.378499999999988</v>
      </c>
      <c r="N27" s="16">
        <f t="shared" si="12"/>
        <v>73.897993749999941</v>
      </c>
      <c r="O27" s="16">
        <f t="shared" si="12"/>
        <v>99.439436249999929</v>
      </c>
      <c r="P27" s="16">
        <f t="shared" si="12"/>
        <v>69.015703968750131</v>
      </c>
      <c r="Q27" s="16"/>
      <c r="R27" s="16">
        <f>((R8/(1-'Assumption Sheet'!G6))-P8)*$G$27</f>
        <v>54.691689937500087</v>
      </c>
    </row>
    <row r="28" spans="2:18" ht="16.5" customHeight="1">
      <c r="B28" s="6" t="s">
        <v>15</v>
      </c>
      <c r="G28" s="112"/>
      <c r="H28" s="126"/>
      <c r="I28" s="9"/>
      <c r="J28" s="16">
        <f>SUM(IRR!N31:N31)</f>
        <v>406.875</v>
      </c>
      <c r="K28" s="16"/>
      <c r="L28" s="16">
        <f>SUM(IRR!P31:P31)</f>
        <v>623.875</v>
      </c>
      <c r="M28" s="16">
        <f>SUM(IRR!Q31:Q31)</f>
        <v>717.45624999999984</v>
      </c>
      <c r="N28" s="16">
        <f>SUM(IRR!R31:R31)</f>
        <v>789.20187499999986</v>
      </c>
      <c r="O28" s="16">
        <f>SUM(IRR!S31:S31)</f>
        <v>868.12206249999986</v>
      </c>
      <c r="P28" s="16">
        <f>SUM(IRR!T31:T31)</f>
        <v>911.52816562499993</v>
      </c>
      <c r="Q28" s="16"/>
      <c r="R28" s="16">
        <f>R8*5%</f>
        <v>119.63807173828125</v>
      </c>
    </row>
    <row r="29" spans="2:18" ht="16.5" customHeight="1">
      <c r="B29" s="5" t="s">
        <v>98</v>
      </c>
      <c r="G29" s="112"/>
      <c r="H29" s="7"/>
      <c r="I29" s="9"/>
      <c r="J29" s="17">
        <f>J24+J26-J27-J28</f>
        <v>365.54892421875002</v>
      </c>
      <c r="K29" s="29"/>
      <c r="L29" s="17">
        <f>L24+L26-L27-L28</f>
        <v>498.97724069196443</v>
      </c>
      <c r="M29" s="17">
        <f t="shared" ref="M29:R29" si="13">M24+M26-M27-M28</f>
        <v>553.52019808609691</v>
      </c>
      <c r="N29" s="17">
        <f t="shared" si="13"/>
        <v>645.65086839220419</v>
      </c>
      <c r="O29" s="17">
        <f t="shared" si="13"/>
        <v>758.42113696798424</v>
      </c>
      <c r="P29" s="17">
        <f t="shared" si="13"/>
        <v>900.82994845887106</v>
      </c>
      <c r="Q29" s="29"/>
      <c r="R29" s="17">
        <f t="shared" si="13"/>
        <v>325.81665783648566</v>
      </c>
    </row>
    <row r="30" spans="2:18" ht="16.5" customHeight="1">
      <c r="G30" s="112"/>
      <c r="H30" s="7"/>
      <c r="I30" s="9"/>
      <c r="J30" s="9"/>
      <c r="K30" s="9"/>
      <c r="L30" s="9"/>
      <c r="M30" s="9"/>
      <c r="N30" s="9"/>
      <c r="O30" s="9"/>
      <c r="P30" s="9"/>
      <c r="Q30" s="9"/>
      <c r="R30" s="9"/>
    </row>
    <row r="31" spans="2:18" ht="16.5" customHeight="1">
      <c r="B31" s="6" t="s">
        <v>219</v>
      </c>
      <c r="G31" s="112"/>
      <c r="H31" s="7"/>
      <c r="I31" s="9"/>
      <c r="J31" s="114">
        <f>'Assumption Sheet'!$G$6</f>
        <v>0.75</v>
      </c>
      <c r="K31" s="9"/>
      <c r="L31" s="114">
        <v>1</v>
      </c>
      <c r="M31" s="114">
        <f>L31</f>
        <v>1</v>
      </c>
      <c r="N31" s="114">
        <f t="shared" ref="N31:P31" si="14">M31</f>
        <v>1</v>
      </c>
      <c r="O31" s="114">
        <f t="shared" si="14"/>
        <v>1</v>
      </c>
      <c r="P31" s="114">
        <f t="shared" si="14"/>
        <v>1</v>
      </c>
      <c r="Q31" s="114"/>
      <c r="R31" s="114">
        <f>1-J31</f>
        <v>0.25</v>
      </c>
    </row>
    <row r="32" spans="2:18" ht="16.5" customHeight="1">
      <c r="B32" s="6" t="s">
        <v>28</v>
      </c>
      <c r="G32" s="112"/>
      <c r="H32" s="7"/>
      <c r="I32" s="127"/>
      <c r="J32" s="114">
        <f>J31/2</f>
        <v>0.375</v>
      </c>
      <c r="K32" s="114"/>
      <c r="L32" s="114">
        <f>J31+L31/2</f>
        <v>1.25</v>
      </c>
      <c r="M32" s="114">
        <f>L32+M31</f>
        <v>2.25</v>
      </c>
      <c r="N32" s="114">
        <f t="shared" ref="N32:P32" si="15">M32+N31</f>
        <v>3.25</v>
      </c>
      <c r="O32" s="114">
        <f t="shared" si="15"/>
        <v>4.25</v>
      </c>
      <c r="P32" s="114">
        <f t="shared" si="15"/>
        <v>5.25</v>
      </c>
      <c r="Q32" s="114"/>
      <c r="R32" s="114">
        <f>P32+R31/2+0.5</f>
        <v>5.875</v>
      </c>
    </row>
    <row r="33" spans="1:19" ht="16.5" customHeight="1">
      <c r="B33" s="6" t="s">
        <v>29</v>
      </c>
      <c r="G33" s="112">
        <f>WARA!G16</f>
        <v>0.185</v>
      </c>
      <c r="H33" s="11">
        <f>A40</f>
        <v>2</v>
      </c>
      <c r="I33" s="127"/>
      <c r="J33" s="108">
        <f t="shared" ref="J33:P33" si="16">1/(1+$G$33)^J32</f>
        <v>0.93833003660469871</v>
      </c>
      <c r="K33" s="108"/>
      <c r="L33" s="108">
        <f t="shared" si="16"/>
        <v>0.80882033594802816</v>
      </c>
      <c r="M33" s="108">
        <f t="shared" si="16"/>
        <v>0.68254880670719675</v>
      </c>
      <c r="N33" s="108">
        <f t="shared" si="16"/>
        <v>0.57599055418328837</v>
      </c>
      <c r="O33" s="108">
        <f t="shared" si="16"/>
        <v>0.48606797821374537</v>
      </c>
      <c r="P33" s="108">
        <f t="shared" si="16"/>
        <v>0.41018394785970075</v>
      </c>
      <c r="Q33" s="108"/>
      <c r="R33" s="108">
        <f>1/(1+$G$33)^R32</f>
        <v>0.36889663331603523</v>
      </c>
    </row>
    <row r="34" spans="1:19" ht="16.5" customHeight="1">
      <c r="B34" s="5" t="s">
        <v>30</v>
      </c>
      <c r="I34" s="9"/>
      <c r="J34" s="17">
        <f>J29*J33</f>
        <v>343.00553544298793</v>
      </c>
      <c r="K34" s="29"/>
      <c r="L34" s="17">
        <f t="shared" ref="L34:O34" si="17">L29*L33*L31</f>
        <v>403.58293944689478</v>
      </c>
      <c r="M34" s="17">
        <f t="shared" si="17"/>
        <v>377.80455069199661</v>
      </c>
      <c r="N34" s="17">
        <f t="shared" si="17"/>
        <v>371.88880149414706</v>
      </c>
      <c r="O34" s="17">
        <f t="shared" si="17"/>
        <v>368.64422868059813</v>
      </c>
      <c r="P34" s="17">
        <f>P29*P33*P31</f>
        <v>369.5059846091105</v>
      </c>
      <c r="Q34" s="29"/>
      <c r="R34" s="17">
        <f>R29*R33*R31</f>
        <v>30.048167038540541</v>
      </c>
    </row>
    <row r="35" spans="1:19" ht="16.5" customHeight="1" thickBot="1"/>
    <row r="36" spans="1:19" ht="16.5" customHeight="1" thickBot="1">
      <c r="B36" s="128" t="s">
        <v>212</v>
      </c>
      <c r="C36" s="128"/>
      <c r="D36" s="115"/>
      <c r="E36" s="115"/>
      <c r="F36" s="115"/>
      <c r="G36" s="129"/>
      <c r="H36" s="115"/>
      <c r="I36" s="129"/>
      <c r="J36" s="130">
        <f>(SUM(I34:R34))</f>
        <v>2264.4802074042755</v>
      </c>
      <c r="K36" s="131"/>
    </row>
    <row r="37" spans="1:19" s="12" customFormat="1" ht="16.5" customHeight="1">
      <c r="A37" s="18"/>
      <c r="B37" s="18"/>
      <c r="C37" s="18"/>
      <c r="D37" s="18"/>
      <c r="E37" s="18"/>
      <c r="F37" s="18"/>
      <c r="G37" s="18"/>
      <c r="H37" s="18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19" s="14" customFormat="1" ht="16.5" customHeight="1">
      <c r="A38" s="14" t="s">
        <v>25</v>
      </c>
      <c r="B38" s="116"/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</row>
    <row r="39" spans="1:19" s="14" customFormat="1" ht="16.5" customHeight="1">
      <c r="A39" s="132">
        <v>1</v>
      </c>
      <c r="B39" s="116" t="s">
        <v>150</v>
      </c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</row>
    <row r="40" spans="1:19" s="14" customFormat="1" ht="16.5" customHeight="1">
      <c r="A40" s="22">
        <v>2</v>
      </c>
      <c r="B40" s="14" t="str">
        <f>"Based an analysis of the weighted average returns for "&amp;'Assumption Sheet'!$G$4&amp;"'s assets.  Present value factors are adjusted to a mid-period convention."</f>
        <v>Based an analysis of the weighted average returns for XYZ Corporation's assets.  Present value factors are adjusted to a mid-period convention.</v>
      </c>
    </row>
    <row r="41" spans="1:19" ht="16.5" customHeight="1">
      <c r="A41" s="21"/>
    </row>
  </sheetData>
  <printOptions horizontalCentered="1"/>
  <pageMargins left="0.5" right="0.5" top="0.5" bottom="0.5" header="0.3" footer="0.3"/>
  <pageSetup scale="73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F68"/>
  <sheetViews>
    <sheetView showGridLines="0" view="pageBreakPreview" zoomScale="75" zoomScaleNormal="60" zoomScaleSheetLayoutView="75" workbookViewId="0"/>
  </sheetViews>
  <sheetFormatPr defaultRowHeight="16.5" customHeight="1" outlineLevelRow="1" outlineLevelCol="1"/>
  <cols>
    <col min="1" max="1" width="3.25" style="189" customWidth="1"/>
    <col min="2" max="3" width="2.375" style="189" customWidth="1"/>
    <col min="4" max="5" width="9" style="189"/>
    <col min="6" max="6" width="15.75" style="189" customWidth="1"/>
    <col min="7" max="8" width="9.625" style="189" customWidth="1"/>
    <col min="9" max="9" width="6.625" style="189" customWidth="1"/>
    <col min="10" max="10" width="11.25" style="189" customWidth="1" outlineLevel="1"/>
    <col min="11" max="11" width="2.625" style="189" customWidth="1"/>
    <col min="12" max="12" width="11.25" style="189" customWidth="1" outlineLevel="1"/>
    <col min="13" max="13" width="2.625" style="189" customWidth="1" outlineLevel="1"/>
    <col min="14" max="14" width="14.625" style="189" bestFit="1" customWidth="1"/>
    <col min="15" max="15" width="2.625" style="189" customWidth="1"/>
    <col min="16" max="17" width="11.25" style="189" customWidth="1"/>
    <col min="18" max="18" width="11.375" style="189" customWidth="1"/>
    <col min="19" max="21" width="11.25" style="189" customWidth="1"/>
    <col min="22" max="22" width="3.625" style="189" customWidth="1"/>
    <col min="23" max="23" width="11.25" style="189" customWidth="1"/>
    <col min="24" max="24" width="3.25" style="189" customWidth="1"/>
    <col min="25" max="25" width="3.5" style="189" customWidth="1"/>
    <col min="26" max="16384" width="9" style="189"/>
  </cols>
  <sheetData>
    <row r="2" spans="2:26" ht="16.5" customHeight="1">
      <c r="J2" s="439" t="s">
        <v>46</v>
      </c>
      <c r="K2" s="440"/>
      <c r="L2" s="441" t="s">
        <v>205</v>
      </c>
      <c r="M2" s="245"/>
      <c r="N2" s="441" t="str">
        <f>TEXT(Val_Date+1,"MMM D")&amp;" to "&amp;TEXT('Assumption Sheet'!$G$9,"MMM D")</f>
        <v>Apr 1 to Dec 31</v>
      </c>
      <c r="O2" s="442"/>
      <c r="P2" s="443" t="str">
        <f>"Projections for the Years Ending " &amp; TEXT('Assumption Sheet'!$G$9,"mmmm dd") &amp; ", (1)"</f>
        <v>Projections for the Years Ending December 31, (1)</v>
      </c>
      <c r="Q2" s="444"/>
      <c r="R2" s="444"/>
      <c r="S2" s="444"/>
      <c r="T2" s="444"/>
      <c r="U2" s="445"/>
      <c r="V2" s="442"/>
      <c r="W2" s="446" t="s">
        <v>56</v>
      </c>
      <c r="Y2" s="245"/>
    </row>
    <row r="3" spans="2:26" ht="16.5" customHeight="1">
      <c r="F3" s="248"/>
      <c r="G3" s="248"/>
      <c r="H3" s="248"/>
      <c r="I3" s="249" t="s">
        <v>64</v>
      </c>
      <c r="J3" s="250">
        <f>'Assumption Sheet'!$G$5</f>
        <v>43921</v>
      </c>
      <c r="K3" s="447"/>
      <c r="L3" s="251" t="str">
        <f>TEXT('Assumption Sheet'!$G$9,"YYYY")</f>
        <v>2020</v>
      </c>
      <c r="M3" s="252"/>
      <c r="N3" s="251" t="str">
        <f>TEXT('Assumption Sheet'!$G$9,"YYYY")</f>
        <v>2020</v>
      </c>
      <c r="O3" s="253"/>
      <c r="P3" s="254">
        <f>N3+1</f>
        <v>2021</v>
      </c>
      <c r="Q3" s="255">
        <f t="shared" ref="Q3:U3" si="0">P3+1</f>
        <v>2022</v>
      </c>
      <c r="R3" s="255">
        <f t="shared" si="0"/>
        <v>2023</v>
      </c>
      <c r="S3" s="255">
        <f t="shared" si="0"/>
        <v>2024</v>
      </c>
      <c r="T3" s="255">
        <f t="shared" si="0"/>
        <v>2025</v>
      </c>
      <c r="U3" s="256">
        <f t="shared" si="0"/>
        <v>2026</v>
      </c>
      <c r="V3" s="253"/>
      <c r="W3" s="448" t="s">
        <v>57</v>
      </c>
    </row>
    <row r="4" spans="2:26" s="260" customFormat="1" ht="16.5" customHeight="1"/>
    <row r="5" spans="2:26" ht="16.5" customHeight="1" outlineLevel="1">
      <c r="B5" s="220" t="s">
        <v>38</v>
      </c>
      <c r="C5" s="220"/>
      <c r="D5" s="220"/>
      <c r="J5" s="257">
        <v>5425</v>
      </c>
      <c r="K5" s="257"/>
      <c r="L5" s="257">
        <v>5425</v>
      </c>
      <c r="M5" s="258"/>
      <c r="N5" s="257">
        <f>+L5*'Assumption Sheet'!$G$6</f>
        <v>4068.75</v>
      </c>
      <c r="O5" s="257"/>
      <c r="P5" s="259">
        <f>L5*(1+P7)</f>
        <v>6238.7499999999991</v>
      </c>
      <c r="Q5" s="259">
        <f>P5*(1+Q7)</f>
        <v>7174.5624999999982</v>
      </c>
      <c r="R5" s="259">
        <f>Q5*(1+R7)</f>
        <v>7892.0187499999984</v>
      </c>
      <c r="S5" s="259">
        <f>R5*(1+S7)</f>
        <v>8681.2206249999981</v>
      </c>
      <c r="T5" s="259">
        <f>S5*(1+T7)</f>
        <v>9115.2816562499993</v>
      </c>
      <c r="U5" s="259">
        <f>T5*(1+U7)</f>
        <v>9571.0457390624997</v>
      </c>
      <c r="V5" s="260"/>
      <c r="W5" s="257">
        <f>U5*(1+$W$7)</f>
        <v>9858.1771112343758</v>
      </c>
      <c r="Z5" s="261"/>
    </row>
    <row r="6" spans="2:26" ht="16.5" customHeight="1">
      <c r="B6" s="220" t="s">
        <v>48</v>
      </c>
      <c r="C6" s="220"/>
      <c r="D6" s="220"/>
      <c r="J6" s="262">
        <f>J5</f>
        <v>5425</v>
      </c>
      <c r="K6" s="257"/>
      <c r="L6" s="262">
        <f>L5</f>
        <v>5425</v>
      </c>
      <c r="M6" s="258"/>
      <c r="N6" s="262">
        <f>N5</f>
        <v>4068.75</v>
      </c>
      <c r="O6" s="257"/>
      <c r="P6" s="262">
        <f>P5</f>
        <v>6238.7499999999991</v>
      </c>
      <c r="Q6" s="262">
        <f t="shared" ref="Q6:W6" si="1">Q5</f>
        <v>7174.5624999999982</v>
      </c>
      <c r="R6" s="262">
        <f t="shared" si="1"/>
        <v>7892.0187499999984</v>
      </c>
      <c r="S6" s="262">
        <f t="shared" si="1"/>
        <v>8681.2206249999981</v>
      </c>
      <c r="T6" s="262">
        <f t="shared" si="1"/>
        <v>9115.2816562499993</v>
      </c>
      <c r="U6" s="262">
        <f t="shared" si="1"/>
        <v>9571.0457390624997</v>
      </c>
      <c r="V6" s="260"/>
      <c r="W6" s="262">
        <f t="shared" si="1"/>
        <v>9858.1771112343758</v>
      </c>
      <c r="Z6" s="261"/>
    </row>
    <row r="7" spans="2:26" ht="16.5" customHeight="1">
      <c r="B7" s="263"/>
      <c r="C7" s="263" t="s">
        <v>213</v>
      </c>
      <c r="D7" s="263"/>
      <c r="E7" s="263"/>
      <c r="F7" s="263"/>
      <c r="G7" s="263"/>
      <c r="H7" s="263"/>
      <c r="I7" s="263"/>
      <c r="J7" s="264"/>
      <c r="K7" s="264"/>
      <c r="L7" s="264">
        <f>L5/'Hist IS (All)'!G5-1</f>
        <v>0</v>
      </c>
      <c r="M7" s="263"/>
      <c r="N7" s="264" t="s">
        <v>206</v>
      </c>
      <c r="O7" s="264"/>
      <c r="P7" s="264">
        <v>0.15</v>
      </c>
      <c r="Q7" s="264">
        <v>0.15</v>
      </c>
      <c r="R7" s="264">
        <v>0.1</v>
      </c>
      <c r="S7" s="264">
        <v>0.1</v>
      </c>
      <c r="T7" s="264">
        <v>0.05</v>
      </c>
      <c r="U7" s="264">
        <v>0.05</v>
      </c>
      <c r="V7" s="265"/>
      <c r="W7" s="266">
        <f>LTG_Rate</f>
        <v>0.03</v>
      </c>
    </row>
    <row r="8" spans="2:26" s="263" customFormat="1" ht="16.5" customHeight="1">
      <c r="J8" s="264"/>
      <c r="K8" s="264"/>
      <c r="L8" s="264"/>
      <c r="N8" s="264"/>
      <c r="O8" s="264"/>
      <c r="P8" s="264"/>
      <c r="Q8" s="264"/>
      <c r="R8" s="264"/>
      <c r="S8" s="264"/>
      <c r="T8" s="265"/>
      <c r="U8" s="265"/>
      <c r="V8" s="264"/>
      <c r="W8" s="265"/>
    </row>
    <row r="9" spans="2:26" ht="16.5" customHeight="1">
      <c r="B9" s="189" t="s">
        <v>61</v>
      </c>
      <c r="D9" s="220"/>
      <c r="J9" s="438">
        <f>800*5.425</f>
        <v>4340</v>
      </c>
      <c r="K9" s="262"/>
      <c r="L9" s="438">
        <f>600*5.425</f>
        <v>3255</v>
      </c>
      <c r="M9" s="262"/>
      <c r="N9" s="438">
        <f>+L9*'Assumption Sheet'!$G$6</f>
        <v>2441.25</v>
      </c>
      <c r="O9" s="438"/>
      <c r="P9" s="438">
        <f>N9/N5*P5</f>
        <v>3743.2499999999991</v>
      </c>
      <c r="Q9" s="438">
        <f>P9/P5*Q5</f>
        <v>4304.7374999999984</v>
      </c>
      <c r="R9" s="438">
        <f>Q9/Q5*R5</f>
        <v>4735.2112499999985</v>
      </c>
      <c r="S9" s="438">
        <f>R9/R5*S5</f>
        <v>5208.7323749999987</v>
      </c>
      <c r="T9" s="438">
        <f>S9/S5*T5</f>
        <v>5469.1689937499996</v>
      </c>
      <c r="U9" s="438">
        <f>T9/T5*U5</f>
        <v>5742.6274434375</v>
      </c>
      <c r="V9" s="262"/>
      <c r="W9" s="438">
        <f>U9*(1+$W$7)</f>
        <v>5914.9062667406251</v>
      </c>
    </row>
    <row r="10" spans="2:26" ht="16.5" customHeight="1">
      <c r="B10" s="189" t="s">
        <v>2</v>
      </c>
      <c r="J10" s="262">
        <f>J6-J9</f>
        <v>1085</v>
      </c>
      <c r="K10" s="262"/>
      <c r="L10" s="262">
        <f>L6-L9</f>
        <v>2170</v>
      </c>
      <c r="M10" s="207"/>
      <c r="N10" s="262">
        <f>N6-N9</f>
        <v>1627.5</v>
      </c>
      <c r="O10" s="262"/>
      <c r="P10" s="262">
        <f t="shared" ref="P10:U10" si="2">P6-P9</f>
        <v>2495.5</v>
      </c>
      <c r="Q10" s="262">
        <f t="shared" si="2"/>
        <v>2869.8249999999998</v>
      </c>
      <c r="R10" s="262">
        <f t="shared" si="2"/>
        <v>3156.8074999999999</v>
      </c>
      <c r="S10" s="262">
        <f t="shared" si="2"/>
        <v>3472.4882499999994</v>
      </c>
      <c r="T10" s="262">
        <f t="shared" si="2"/>
        <v>3646.1126624999997</v>
      </c>
      <c r="U10" s="262">
        <f t="shared" si="2"/>
        <v>3828.4182956249997</v>
      </c>
      <c r="V10" s="258"/>
      <c r="W10" s="262">
        <f>W6-W9</f>
        <v>3943.2708444937507</v>
      </c>
    </row>
    <row r="11" spans="2:26" ht="16.5" customHeight="1">
      <c r="C11" s="263" t="s">
        <v>63</v>
      </c>
      <c r="J11" s="264">
        <f>J10/J6</f>
        <v>0.2</v>
      </c>
      <c r="K11" s="264"/>
      <c r="L11" s="264">
        <f>L10/L6</f>
        <v>0.4</v>
      </c>
      <c r="N11" s="264">
        <f>N10/N6</f>
        <v>0.4</v>
      </c>
      <c r="O11" s="264"/>
      <c r="P11" s="264">
        <f t="shared" ref="P11:U11" si="3">P10/P6</f>
        <v>0.40000000000000008</v>
      </c>
      <c r="Q11" s="264">
        <f t="shared" si="3"/>
        <v>0.40000000000000008</v>
      </c>
      <c r="R11" s="264">
        <f t="shared" si="3"/>
        <v>0.40000000000000008</v>
      </c>
      <c r="S11" s="264">
        <f t="shared" si="3"/>
        <v>0.4</v>
      </c>
      <c r="T11" s="264">
        <f t="shared" si="3"/>
        <v>0.4</v>
      </c>
      <c r="U11" s="264">
        <f t="shared" si="3"/>
        <v>0.39999999999999997</v>
      </c>
      <c r="V11" s="206"/>
      <c r="W11" s="264">
        <f>W10/W6</f>
        <v>0.4</v>
      </c>
    </row>
    <row r="12" spans="2:26" ht="32.25" customHeight="1">
      <c r="B12" s="189" t="s">
        <v>199</v>
      </c>
      <c r="I12" s="270"/>
      <c r="J12" s="258"/>
      <c r="K12" s="258"/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07"/>
    </row>
    <row r="13" spans="2:26" ht="16.5" customHeight="1">
      <c r="B13" s="220"/>
      <c r="C13" s="189" t="s">
        <v>151</v>
      </c>
      <c r="I13" s="270"/>
      <c r="J13" s="268" t="s">
        <v>106</v>
      </c>
      <c r="K13" s="268"/>
      <c r="L13" s="269">
        <f>50*5425/1000</f>
        <v>271.25</v>
      </c>
      <c r="M13" s="258"/>
      <c r="N13" s="258">
        <f>+L13*'Assumption Sheet'!$G$6</f>
        <v>203.4375</v>
      </c>
      <c r="O13" s="269"/>
      <c r="P13" s="258">
        <f>L13/L5*P5</f>
        <v>311.9375</v>
      </c>
      <c r="Q13" s="258">
        <f>P13/P5*Q5</f>
        <v>358.72812499999998</v>
      </c>
      <c r="R13" s="258">
        <f>Q13/Q5*R5</f>
        <v>394.60093749999999</v>
      </c>
      <c r="S13" s="258">
        <f>R13/R5*S5</f>
        <v>434.06103124999998</v>
      </c>
      <c r="T13" s="258">
        <f>S13/S5*T5</f>
        <v>455.76408281250008</v>
      </c>
      <c r="U13" s="258">
        <f>T13/T5*U5</f>
        <v>478.55228695312508</v>
      </c>
      <c r="V13" s="258"/>
      <c r="W13" s="258">
        <f>U13*(1+$W$7)</f>
        <v>492.90885556171884</v>
      </c>
    </row>
    <row r="14" spans="2:26" ht="16.5" customHeight="1">
      <c r="B14" s="220"/>
      <c r="C14" s="189" t="s">
        <v>153</v>
      </c>
      <c r="I14" s="270"/>
      <c r="J14" s="268" t="s">
        <v>106</v>
      </c>
      <c r="K14" s="268"/>
      <c r="L14" s="269">
        <f>25*5425/1000</f>
        <v>135.625</v>
      </c>
      <c r="M14" s="258"/>
      <c r="N14" s="258">
        <f>+L14*'Assumption Sheet'!$G$6</f>
        <v>101.71875</v>
      </c>
      <c r="O14" s="269"/>
      <c r="P14" s="258">
        <f>L14/L5*P5</f>
        <v>155.96875</v>
      </c>
      <c r="Q14" s="258">
        <f>P14/P5*Q5</f>
        <v>179.36406249999999</v>
      </c>
      <c r="R14" s="258">
        <f>Q14/Q5*R5</f>
        <v>197.30046874999999</v>
      </c>
      <c r="S14" s="258">
        <f>R14/R5*S5</f>
        <v>217.03051562499999</v>
      </c>
      <c r="T14" s="258">
        <f>S14/S5*T5</f>
        <v>227.88204140625004</v>
      </c>
      <c r="U14" s="258">
        <f>T14/T5*U5</f>
        <v>239.27614347656254</v>
      </c>
      <c r="V14" s="258"/>
      <c r="W14" s="258">
        <f>U14*(1+$W$7)</f>
        <v>246.45442778085942</v>
      </c>
    </row>
    <row r="15" spans="2:26" ht="16.5" customHeight="1">
      <c r="B15" s="220"/>
      <c r="C15" s="189" t="s">
        <v>152</v>
      </c>
      <c r="I15" s="270"/>
      <c r="J15" s="268" t="s">
        <v>106</v>
      </c>
      <c r="K15" s="268"/>
      <c r="L15" s="269">
        <f>75*5425/1000</f>
        <v>406.875</v>
      </c>
      <c r="M15" s="258"/>
      <c r="N15" s="258">
        <f>+L15*'Assumption Sheet'!$G$6</f>
        <v>305.15625</v>
      </c>
      <c r="O15" s="269"/>
      <c r="P15" s="258">
        <f>L15/L5*P5</f>
        <v>467.90624999999989</v>
      </c>
      <c r="Q15" s="258">
        <f>P15/P5*Q5</f>
        <v>538.0921874999998</v>
      </c>
      <c r="R15" s="258">
        <f>Q15/Q5*R5</f>
        <v>591.90140624999981</v>
      </c>
      <c r="S15" s="258">
        <f>R15/R5*S5</f>
        <v>651.09154687499984</v>
      </c>
      <c r="T15" s="258">
        <f>S15/S5*T5</f>
        <v>683.64612421874995</v>
      </c>
      <c r="U15" s="258">
        <f>T15/T5*U5</f>
        <v>717.8284304296875</v>
      </c>
      <c r="V15" s="258"/>
      <c r="W15" s="258">
        <f>U15*(1+$W$7)</f>
        <v>739.36328334257814</v>
      </c>
    </row>
    <row r="16" spans="2:26" ht="16.5" customHeight="1">
      <c r="B16" s="189" t="s">
        <v>62</v>
      </c>
      <c r="D16" s="220"/>
      <c r="I16" s="270"/>
      <c r="J16" s="271">
        <f>SUM(J13:J15)</f>
        <v>0</v>
      </c>
      <c r="K16" s="262"/>
      <c r="L16" s="271">
        <f>SUM(L13:L15)</f>
        <v>813.75</v>
      </c>
      <c r="M16" s="270"/>
      <c r="N16" s="271">
        <f>SUM(N13:N15)</f>
        <v>610.3125</v>
      </c>
      <c r="O16" s="272"/>
      <c r="P16" s="271">
        <f t="shared" ref="P16:U16" si="4">SUM(P13:P15)</f>
        <v>935.81249999999989</v>
      </c>
      <c r="Q16" s="271">
        <f t="shared" si="4"/>
        <v>1076.1843749999998</v>
      </c>
      <c r="R16" s="271">
        <f t="shared" si="4"/>
        <v>1183.8028124999998</v>
      </c>
      <c r="S16" s="271">
        <f t="shared" si="4"/>
        <v>1302.1830937499999</v>
      </c>
      <c r="T16" s="271">
        <f t="shared" si="4"/>
        <v>1367.2922484375001</v>
      </c>
      <c r="U16" s="271">
        <f t="shared" si="4"/>
        <v>1435.6568608593752</v>
      </c>
      <c r="V16" s="206"/>
      <c r="W16" s="271">
        <f>SUM(W13:W15)</f>
        <v>1478.7265666851563</v>
      </c>
    </row>
    <row r="17" spans="1:23" ht="16.5" customHeight="1">
      <c r="B17" s="220"/>
      <c r="I17" s="270"/>
      <c r="J17" s="206"/>
      <c r="K17" s="206"/>
      <c r="L17" s="206"/>
      <c r="M17" s="270"/>
      <c r="N17" s="206"/>
      <c r="O17" s="206"/>
      <c r="P17" s="206"/>
      <c r="Q17" s="206"/>
      <c r="R17" s="206"/>
      <c r="S17" s="206"/>
      <c r="T17" s="206"/>
      <c r="U17" s="206"/>
      <c r="V17" s="206"/>
      <c r="W17" s="206"/>
    </row>
    <row r="18" spans="1:23" ht="16.5" customHeight="1">
      <c r="B18" s="220" t="s">
        <v>12</v>
      </c>
      <c r="C18" s="220"/>
      <c r="J18" s="206">
        <f>J10-J16</f>
        <v>1085</v>
      </c>
      <c r="K18" s="206"/>
      <c r="L18" s="206">
        <f>L10-L16</f>
        <v>1356.25</v>
      </c>
      <c r="N18" s="206">
        <f>N10-N16</f>
        <v>1017.1875</v>
      </c>
      <c r="O18" s="206"/>
      <c r="P18" s="206">
        <f t="shared" ref="P18:U18" si="5">P10-P16</f>
        <v>1559.6875</v>
      </c>
      <c r="Q18" s="206">
        <f t="shared" si="5"/>
        <v>1793.640625</v>
      </c>
      <c r="R18" s="206">
        <f t="shared" si="5"/>
        <v>1973.0046875</v>
      </c>
      <c r="S18" s="206">
        <f t="shared" si="5"/>
        <v>2170.3051562499995</v>
      </c>
      <c r="T18" s="206">
        <f t="shared" si="5"/>
        <v>2278.8204140624994</v>
      </c>
      <c r="U18" s="206">
        <f t="shared" si="5"/>
        <v>2392.7614347656245</v>
      </c>
      <c r="V18" s="206"/>
      <c r="W18" s="206">
        <f>W10-W16</f>
        <v>2464.5442778085944</v>
      </c>
    </row>
    <row r="19" spans="1:23" s="263" customFormat="1" ht="16.5" customHeight="1">
      <c r="C19" s="263" t="s">
        <v>43</v>
      </c>
      <c r="J19" s="264">
        <f>J18/J6</f>
        <v>0.2</v>
      </c>
      <c r="K19" s="264"/>
      <c r="L19" s="264">
        <f>L18/L6</f>
        <v>0.25</v>
      </c>
      <c r="N19" s="264">
        <f>N18/N6</f>
        <v>0.25</v>
      </c>
      <c r="O19" s="264"/>
      <c r="P19" s="264">
        <f t="shared" ref="P19:U19" si="6">P18/P6</f>
        <v>0.25000000000000006</v>
      </c>
      <c r="Q19" s="264">
        <f t="shared" si="6"/>
        <v>0.25000000000000006</v>
      </c>
      <c r="R19" s="264">
        <f t="shared" si="6"/>
        <v>0.25000000000000006</v>
      </c>
      <c r="S19" s="264">
        <f t="shared" si="6"/>
        <v>0.25</v>
      </c>
      <c r="T19" s="264">
        <f t="shared" si="6"/>
        <v>0.24999999999999994</v>
      </c>
      <c r="U19" s="264">
        <f t="shared" si="6"/>
        <v>0.24999999999999994</v>
      </c>
      <c r="V19" s="264"/>
      <c r="W19" s="264">
        <f>W18/W6</f>
        <v>0.25000000000000006</v>
      </c>
    </row>
    <row r="20" spans="1:23" s="263" customFormat="1" ht="16.5" customHeight="1">
      <c r="I20" s="273"/>
      <c r="J20" s="264"/>
      <c r="K20" s="264"/>
      <c r="L20" s="264"/>
      <c r="N20" s="264"/>
      <c r="O20" s="264"/>
      <c r="P20" s="264"/>
      <c r="Q20" s="264"/>
      <c r="R20" s="264"/>
      <c r="S20" s="264"/>
      <c r="T20" s="264"/>
      <c r="U20" s="264"/>
      <c r="V20" s="264"/>
      <c r="W20" s="264"/>
    </row>
    <row r="21" spans="1:23" ht="16.5" customHeight="1">
      <c r="C21" s="189" t="s">
        <v>44</v>
      </c>
      <c r="I21" s="274" t="s">
        <v>5</v>
      </c>
      <c r="J21" s="206"/>
      <c r="K21" s="206"/>
      <c r="L21" s="276">
        <f>+'Tax Depreciation'!H50</f>
        <v>139.5</v>
      </c>
      <c r="M21" s="275"/>
      <c r="N21" s="258">
        <f>+L21*'Assumption Sheet'!$G$6</f>
        <v>104.625</v>
      </c>
      <c r="O21" s="276"/>
      <c r="P21" s="276">
        <f>'Tax Depreciation'!I50</f>
        <v>300.64464285714286</v>
      </c>
      <c r="Q21" s="276">
        <f>'Tax Depreciation'!J50</f>
        <v>457.13454081632648</v>
      </c>
      <c r="R21" s="276">
        <f>'Tax Depreciation'!K50</f>
        <v>586.97539158163261</v>
      </c>
      <c r="S21" s="276">
        <f>'Tax Depreciation'!L50</f>
        <v>715.55602908163257</v>
      </c>
      <c r="T21" s="276">
        <f>'Tax Depreciation'!M50</f>
        <v>822.48182970663254</v>
      </c>
      <c r="U21" s="276">
        <f>'Tax Depreciation'!N50</f>
        <v>892.18459636288264</v>
      </c>
      <c r="V21" s="276"/>
      <c r="W21" s="276">
        <f>W31</f>
        <v>985.81771112343768</v>
      </c>
    </row>
    <row r="22" spans="1:23" ht="16.5" customHeight="1">
      <c r="B22" s="220" t="s">
        <v>13</v>
      </c>
      <c r="I22" s="278"/>
      <c r="J22" s="206"/>
      <c r="K22" s="206"/>
      <c r="L22" s="279">
        <f>L18-SUM(L21:L21)</f>
        <v>1216.75</v>
      </c>
      <c r="N22" s="279">
        <f>N18-SUM(N21:N21)</f>
        <v>912.5625</v>
      </c>
      <c r="O22" s="280"/>
      <c r="P22" s="279">
        <f t="shared" ref="P22:U22" si="7">P18-SUM(P21:P21)</f>
        <v>1259.0428571428572</v>
      </c>
      <c r="Q22" s="279">
        <f t="shared" si="7"/>
        <v>1336.5060841836735</v>
      </c>
      <c r="R22" s="279">
        <f t="shared" si="7"/>
        <v>1386.0292959183676</v>
      </c>
      <c r="S22" s="279">
        <f t="shared" si="7"/>
        <v>1454.7491271683671</v>
      </c>
      <c r="T22" s="279">
        <f t="shared" si="7"/>
        <v>1456.3385843558667</v>
      </c>
      <c r="U22" s="279">
        <f t="shared" si="7"/>
        <v>1500.5768384027419</v>
      </c>
      <c r="V22" s="206"/>
      <c r="W22" s="279">
        <f>W18-SUM(W21:W21)</f>
        <v>1478.7265666851567</v>
      </c>
    </row>
    <row r="23" spans="1:23" s="263" customFormat="1" ht="16.5" customHeight="1">
      <c r="C23" s="263" t="s">
        <v>22</v>
      </c>
      <c r="J23" s="264"/>
      <c r="K23" s="264"/>
      <c r="L23" s="264">
        <f>L22/L6</f>
        <v>0.22428571428571428</v>
      </c>
      <c r="N23" s="264">
        <f>N22/N6</f>
        <v>0.22428571428571428</v>
      </c>
      <c r="O23" s="264"/>
      <c r="P23" s="264">
        <f t="shared" ref="P23:U23" si="8">P22/P6</f>
        <v>0.20181011535048807</v>
      </c>
      <c r="Q23" s="264">
        <f t="shared" si="8"/>
        <v>0.18628398375283145</v>
      </c>
      <c r="R23" s="264">
        <f t="shared" si="8"/>
        <v>0.17562417675684916</v>
      </c>
      <c r="S23" s="264">
        <f t="shared" si="8"/>
        <v>0.1675742605802473</v>
      </c>
      <c r="T23" s="264">
        <f t="shared" si="8"/>
        <v>0.15976890668620328</v>
      </c>
      <c r="U23" s="264">
        <f t="shared" si="8"/>
        <v>0.15678295552161117</v>
      </c>
      <c r="V23" s="264"/>
      <c r="W23" s="264">
        <f>W22/W6</f>
        <v>0.15000000000000005</v>
      </c>
    </row>
    <row r="24" spans="1:23" s="263" customFormat="1" ht="16.5" customHeight="1">
      <c r="J24" s="264"/>
      <c r="K24" s="264"/>
      <c r="L24" s="264"/>
      <c r="N24" s="264"/>
      <c r="O24" s="264"/>
      <c r="P24" s="264"/>
      <c r="Q24" s="276"/>
      <c r="R24" s="264"/>
      <c r="S24" s="264"/>
      <c r="T24" s="264"/>
      <c r="U24" s="264"/>
      <c r="V24" s="264"/>
      <c r="W24" s="264"/>
    </row>
    <row r="25" spans="1:23" ht="16.5" customHeight="1">
      <c r="B25" s="189" t="s">
        <v>18</v>
      </c>
      <c r="F25" s="281"/>
      <c r="G25" s="281">
        <f>Blended_Tax</f>
        <v>0.26134999999999997</v>
      </c>
      <c r="H25" s="281"/>
      <c r="I25" s="275"/>
      <c r="J25" s="206"/>
      <c r="K25" s="206"/>
      <c r="L25" s="276">
        <f>L22*$G$25</f>
        <v>317.99761249999995</v>
      </c>
      <c r="M25" s="275"/>
      <c r="N25" s="276">
        <f>N22*$G$25</f>
        <v>238.49820937499999</v>
      </c>
      <c r="O25" s="276"/>
      <c r="P25" s="276">
        <f t="shared" ref="P25:W25" si="9">P22*$G$25</f>
        <v>329.05085071428567</v>
      </c>
      <c r="Q25" s="276">
        <f t="shared" si="9"/>
        <v>349.29586510140302</v>
      </c>
      <c r="R25" s="276">
        <f t="shared" si="9"/>
        <v>362.23875648826532</v>
      </c>
      <c r="S25" s="276">
        <f t="shared" si="9"/>
        <v>380.19868438545268</v>
      </c>
      <c r="T25" s="276">
        <f t="shared" si="9"/>
        <v>380.61408902140573</v>
      </c>
      <c r="U25" s="276">
        <f t="shared" si="9"/>
        <v>392.17575671655658</v>
      </c>
      <c r="V25" s="276"/>
      <c r="W25" s="276">
        <f t="shared" si="9"/>
        <v>386.46518820316567</v>
      </c>
    </row>
    <row r="26" spans="1:23" ht="16.5" customHeight="1">
      <c r="A26" s="282"/>
      <c r="B26" s="220" t="s">
        <v>14</v>
      </c>
      <c r="J26" s="206"/>
      <c r="K26" s="206"/>
      <c r="L26" s="279">
        <f t="shared" ref="L26" si="10">L22-L25</f>
        <v>898.75238750000005</v>
      </c>
      <c r="N26" s="279">
        <f t="shared" ref="N26:U26" si="11">N22-N25</f>
        <v>674.06429062500001</v>
      </c>
      <c r="O26" s="280"/>
      <c r="P26" s="279">
        <f t="shared" si="11"/>
        <v>929.99200642857159</v>
      </c>
      <c r="Q26" s="279">
        <f t="shared" si="11"/>
        <v>987.21021908227044</v>
      </c>
      <c r="R26" s="279">
        <f t="shared" si="11"/>
        <v>1023.7905394301022</v>
      </c>
      <c r="S26" s="279">
        <f t="shared" si="11"/>
        <v>1074.5504427829144</v>
      </c>
      <c r="T26" s="279">
        <f t="shared" si="11"/>
        <v>1075.7244953344609</v>
      </c>
      <c r="U26" s="279">
        <f t="shared" si="11"/>
        <v>1108.4010816861853</v>
      </c>
      <c r="V26" s="206"/>
      <c r="W26" s="279">
        <f>W22-W25</f>
        <v>1092.261378481991</v>
      </c>
    </row>
    <row r="27" spans="1:23" s="263" customFormat="1" ht="16.5" customHeight="1">
      <c r="J27" s="264"/>
      <c r="K27" s="264"/>
      <c r="L27" s="264"/>
      <c r="N27" s="264"/>
      <c r="O27" s="264"/>
      <c r="P27" s="264"/>
      <c r="Q27" s="264"/>
      <c r="R27" s="264"/>
      <c r="S27" s="264"/>
      <c r="T27" s="264"/>
      <c r="U27" s="264"/>
      <c r="V27" s="264"/>
      <c r="W27" s="264"/>
    </row>
    <row r="28" spans="1:23" ht="16.5" customHeight="1">
      <c r="B28" s="189" t="s">
        <v>200</v>
      </c>
      <c r="J28" s="276"/>
      <c r="K28" s="276"/>
      <c r="L28" s="232"/>
      <c r="N28" s="232"/>
      <c r="O28" s="232"/>
      <c r="P28" s="232"/>
      <c r="Q28" s="232"/>
      <c r="R28" s="232"/>
      <c r="S28" s="232"/>
      <c r="T28" s="232"/>
      <c r="U28" s="232"/>
    </row>
    <row r="29" spans="1:23" ht="16.5" customHeight="1">
      <c r="A29" s="282"/>
      <c r="C29" s="189" t="s">
        <v>55</v>
      </c>
      <c r="J29" s="283"/>
      <c r="K29" s="283"/>
      <c r="L29" s="276">
        <f>+L21</f>
        <v>139.5</v>
      </c>
      <c r="N29" s="276">
        <f>+N21</f>
        <v>104.625</v>
      </c>
      <c r="O29" s="276"/>
      <c r="P29" s="276">
        <f>+P21</f>
        <v>300.64464285714286</v>
      </c>
      <c r="Q29" s="276">
        <f t="shared" ref="Q29:W29" si="12">+Q21</f>
        <v>457.13454081632648</v>
      </c>
      <c r="R29" s="276">
        <f t="shared" si="12"/>
        <v>586.97539158163261</v>
      </c>
      <c r="S29" s="276">
        <f t="shared" si="12"/>
        <v>715.55602908163257</v>
      </c>
      <c r="T29" s="276">
        <f t="shared" si="12"/>
        <v>822.48182970663254</v>
      </c>
      <c r="U29" s="276">
        <f t="shared" si="12"/>
        <v>892.18459636288264</v>
      </c>
      <c r="V29" s="276"/>
      <c r="W29" s="276">
        <f t="shared" si="12"/>
        <v>985.81771112343768</v>
      </c>
    </row>
    <row r="30" spans="1:23" ht="16.5" customHeight="1">
      <c r="A30" s="282"/>
      <c r="C30" s="189" t="s">
        <v>132</v>
      </c>
      <c r="G30" s="284">
        <v>0.1</v>
      </c>
      <c r="H30" s="284"/>
      <c r="I30" s="274">
        <f>+A51</f>
        <v>1</v>
      </c>
      <c r="J30" s="283"/>
      <c r="K30" s="283"/>
      <c r="L30" s="276">
        <f>+(L9-'Hist IS (All)'!I5)*IRR!G30</f>
        <v>-217</v>
      </c>
      <c r="N30" s="276">
        <f>N60</f>
        <v>5.4249999999999545</v>
      </c>
      <c r="O30" s="285"/>
      <c r="P30" s="276">
        <f t="shared" ref="P30:W30" si="13">P60</f>
        <v>81.375</v>
      </c>
      <c r="Q30" s="276">
        <f t="shared" si="13"/>
        <v>93.581249999999841</v>
      </c>
      <c r="R30" s="276">
        <f t="shared" si="13"/>
        <v>71.745625000000018</v>
      </c>
      <c r="S30" s="276">
        <f t="shared" si="13"/>
        <v>78.920187499999997</v>
      </c>
      <c r="T30" s="276">
        <f t="shared" si="13"/>
        <v>43.406103125000072</v>
      </c>
      <c r="U30" s="276">
        <f t="shared" si="13"/>
        <v>45.57640828125011</v>
      </c>
      <c r="V30" s="276"/>
      <c r="W30" s="276">
        <f t="shared" si="13"/>
        <v>28.713137217187636</v>
      </c>
    </row>
    <row r="31" spans="1:23" ht="16.5" customHeight="1">
      <c r="C31" s="189" t="s">
        <v>60</v>
      </c>
      <c r="G31" s="284">
        <v>0.1</v>
      </c>
      <c r="H31" s="284"/>
      <c r="I31" s="274">
        <f>+A52</f>
        <v>2</v>
      </c>
      <c r="J31" s="283"/>
      <c r="K31" s="283"/>
      <c r="L31" s="276">
        <f>$G$31*L5</f>
        <v>542.5</v>
      </c>
      <c r="M31" s="275"/>
      <c r="N31" s="276">
        <f>$G$31*N5</f>
        <v>406.875</v>
      </c>
      <c r="O31" s="276"/>
      <c r="P31" s="276">
        <f t="shared" ref="P31:U31" si="14">$G$31*P5</f>
        <v>623.875</v>
      </c>
      <c r="Q31" s="276">
        <f t="shared" si="14"/>
        <v>717.45624999999984</v>
      </c>
      <c r="R31" s="276">
        <f t="shared" si="14"/>
        <v>789.20187499999986</v>
      </c>
      <c r="S31" s="276">
        <f t="shared" si="14"/>
        <v>868.12206249999986</v>
      </c>
      <c r="T31" s="276">
        <f t="shared" si="14"/>
        <v>911.52816562499993</v>
      </c>
      <c r="U31" s="276">
        <f t="shared" si="14"/>
        <v>957.10457390625004</v>
      </c>
      <c r="V31" s="276"/>
      <c r="W31" s="276">
        <f>G31*W5</f>
        <v>985.81771112343768</v>
      </c>
    </row>
    <row r="32" spans="1:23" ht="16.5" customHeight="1">
      <c r="B32" s="220" t="s">
        <v>26</v>
      </c>
      <c r="I32" s="278"/>
      <c r="J32" s="283"/>
      <c r="K32" s="283"/>
      <c r="L32" s="286">
        <f>L26+L29-SUM(L30:L31)</f>
        <v>712.75238750000017</v>
      </c>
      <c r="N32" s="286">
        <f>N26+N29-SUM(N30:N31)</f>
        <v>366.38929062500006</v>
      </c>
      <c r="O32" s="280"/>
      <c r="P32" s="286">
        <f t="shared" ref="P32:U32" si="15">P26+P29-SUM(P30:P31)</f>
        <v>525.38664928571438</v>
      </c>
      <c r="Q32" s="286">
        <f t="shared" si="15"/>
        <v>633.30725989859729</v>
      </c>
      <c r="R32" s="286">
        <f t="shared" si="15"/>
        <v>749.81843101173479</v>
      </c>
      <c r="S32" s="286">
        <f t="shared" si="15"/>
        <v>843.06422186454722</v>
      </c>
      <c r="T32" s="286">
        <f t="shared" si="15"/>
        <v>943.27205629109335</v>
      </c>
      <c r="U32" s="286">
        <f t="shared" si="15"/>
        <v>997.90469586156792</v>
      </c>
      <c r="V32" s="206"/>
      <c r="W32" s="286">
        <f>W26+W29-SUM(W30:W31)</f>
        <v>1063.5482412648034</v>
      </c>
    </row>
    <row r="33" spans="1:32" ht="16.5" customHeight="1">
      <c r="B33" s="220"/>
      <c r="I33" s="278"/>
      <c r="J33" s="283"/>
      <c r="K33" s="283"/>
      <c r="L33" s="283"/>
      <c r="N33" s="206"/>
      <c r="O33" s="206"/>
      <c r="P33" s="206"/>
      <c r="Q33" s="206"/>
      <c r="R33" s="206"/>
      <c r="S33" s="206"/>
      <c r="T33" s="206"/>
      <c r="U33" s="206"/>
      <c r="V33" s="206"/>
      <c r="W33" s="206"/>
    </row>
    <row r="34" spans="1:32" ht="16.5" customHeight="1">
      <c r="B34" s="189" t="s">
        <v>28</v>
      </c>
      <c r="I34" s="278"/>
      <c r="N34" s="287">
        <f>'Assumption Sheet'!G6/2</f>
        <v>0.375</v>
      </c>
      <c r="O34" s="287"/>
      <c r="P34" s="287">
        <f>N34*2+0.5</f>
        <v>1.25</v>
      </c>
      <c r="Q34" s="287">
        <f>P34+1</f>
        <v>2.25</v>
      </c>
      <c r="R34" s="287">
        <f>Q34+1</f>
        <v>3.25</v>
      </c>
      <c r="S34" s="287">
        <f>R34+1</f>
        <v>4.25</v>
      </c>
      <c r="T34" s="287">
        <f>S34+1</f>
        <v>5.25</v>
      </c>
      <c r="U34" s="287">
        <f>T34+1</f>
        <v>6.25</v>
      </c>
      <c r="V34" s="287"/>
      <c r="W34" s="287"/>
    </row>
    <row r="35" spans="1:32" ht="16.5" customHeight="1">
      <c r="B35" s="189" t="s">
        <v>29</v>
      </c>
      <c r="G35" s="284">
        <f>+N48</f>
        <v>0.17727664587</v>
      </c>
      <c r="H35" s="284"/>
      <c r="I35" s="274"/>
      <c r="J35" s="270"/>
      <c r="K35" s="270"/>
      <c r="L35" s="270"/>
      <c r="M35" s="270"/>
      <c r="N35" s="287">
        <f>1/(1+$G$35)^N34</f>
        <v>0.94063373806113204</v>
      </c>
      <c r="O35" s="287"/>
      <c r="P35" s="287">
        <f t="shared" ref="P35:U35" si="16">1/(1+$G$35)^P34</f>
        <v>0.81545845302247377</v>
      </c>
      <c r="Q35" s="287">
        <f t="shared" si="16"/>
        <v>0.69266510627147893</v>
      </c>
      <c r="R35" s="287">
        <f t="shared" si="16"/>
        <v>0.5883622245471487</v>
      </c>
      <c r="S35" s="287">
        <f t="shared" si="16"/>
        <v>0.49976547705348628</v>
      </c>
      <c r="T35" s="287">
        <f t="shared" si="16"/>
        <v>0.42450980303288249</v>
      </c>
      <c r="U35" s="287">
        <f t="shared" si="16"/>
        <v>0.36058627725446174</v>
      </c>
      <c r="V35" s="287"/>
      <c r="W35" s="287"/>
    </row>
    <row r="36" spans="1:32" ht="16.5" customHeight="1">
      <c r="A36" s="282"/>
      <c r="B36" s="220" t="s">
        <v>30</v>
      </c>
      <c r="N36" s="279">
        <f>N32*N35</f>
        <v>344.6381280261603</v>
      </c>
      <c r="O36" s="280"/>
      <c r="P36" s="279">
        <f t="shared" ref="P36:U36" si="17">P32*P35</f>
        <v>428.43098426518964</v>
      </c>
      <c r="Q36" s="279">
        <f t="shared" si="17"/>
        <v>438.66984048016104</v>
      </c>
      <c r="R36" s="279">
        <f t="shared" si="17"/>
        <v>441.16484007651701</v>
      </c>
      <c r="S36" s="279">
        <f t="shared" si="17"/>
        <v>421.33439302686162</v>
      </c>
      <c r="T36" s="279">
        <f t="shared" si="17"/>
        <v>400.42823482255409</v>
      </c>
      <c r="U36" s="279">
        <f t="shared" si="17"/>
        <v>359.83073933546865</v>
      </c>
      <c r="V36" s="206"/>
      <c r="W36" s="206"/>
    </row>
    <row r="38" spans="1:32" ht="16.5" customHeight="1">
      <c r="B38" s="189" t="s">
        <v>31</v>
      </c>
      <c r="I38" s="270"/>
      <c r="M38" s="270"/>
      <c r="N38" s="276">
        <f>SUM(N36:U36)</f>
        <v>2834.4971600329122</v>
      </c>
      <c r="O38" s="276"/>
      <c r="Q38" s="288" t="s">
        <v>50</v>
      </c>
      <c r="R38" s="289"/>
      <c r="S38" s="289"/>
      <c r="T38" s="290"/>
      <c r="U38" s="291"/>
    </row>
    <row r="39" spans="1:32" ht="16.5" customHeight="1">
      <c r="B39" s="189" t="s">
        <v>32</v>
      </c>
      <c r="I39" s="270"/>
      <c r="M39" s="270"/>
      <c r="N39" s="276">
        <f>U43</f>
        <v>2603.9491783152025</v>
      </c>
      <c r="O39" s="276"/>
      <c r="Q39" s="292" t="s">
        <v>49</v>
      </c>
      <c r="R39" s="293"/>
      <c r="S39" s="293"/>
      <c r="T39" s="293"/>
      <c r="U39" s="294">
        <f>W32</f>
        <v>1063.5482412648034</v>
      </c>
    </row>
    <row r="40" spans="1:32" ht="16.5" customHeight="1">
      <c r="B40" s="220" t="s">
        <v>27</v>
      </c>
      <c r="C40" s="220"/>
      <c r="D40" s="220"/>
      <c r="E40" s="220"/>
      <c r="F40" s="220"/>
      <c r="G40" s="220"/>
      <c r="H40" s="220"/>
      <c r="I40" s="295"/>
      <c r="M40" s="295"/>
      <c r="N40" s="296">
        <f>SUM(N38:N39)</f>
        <v>5438.4463383481143</v>
      </c>
      <c r="O40" s="297"/>
      <c r="Q40" s="292" t="s">
        <v>51</v>
      </c>
      <c r="R40" s="293"/>
      <c r="S40" s="275">
        <f>+A53</f>
        <v>3</v>
      </c>
      <c r="T40" s="275"/>
      <c r="U40" s="493">
        <f>G35-LTG_Rate</f>
        <v>0.14727664587</v>
      </c>
    </row>
    <row r="41" spans="1:32" ht="16.5" customHeight="1">
      <c r="Q41" s="292" t="s">
        <v>52</v>
      </c>
      <c r="R41" s="293"/>
      <c r="S41" s="293"/>
      <c r="T41" s="293"/>
      <c r="U41" s="298">
        <f>U39/U40</f>
        <v>7221.4317143234612</v>
      </c>
    </row>
    <row r="42" spans="1:32" ht="16.5" customHeight="1">
      <c r="B42" s="189" t="s">
        <v>136</v>
      </c>
      <c r="N42" s="276">
        <f>U48</f>
        <v>-515.375</v>
      </c>
      <c r="O42" s="276"/>
      <c r="Q42" s="292" t="s">
        <v>29</v>
      </c>
      <c r="R42" s="293"/>
      <c r="S42" s="293"/>
      <c r="T42" s="293"/>
      <c r="U42" s="299">
        <f>U35</f>
        <v>0.36058627725446174</v>
      </c>
    </row>
    <row r="43" spans="1:32" ht="16.5" customHeight="1">
      <c r="B43" s="189" t="s">
        <v>91</v>
      </c>
      <c r="I43" s="274"/>
      <c r="N43" s="276">
        <f>IF('Assumption Sheet'!G14=1,0,IRR!G63)</f>
        <v>541.62840752561669</v>
      </c>
      <c r="O43" s="276"/>
      <c r="Q43" s="300" t="s">
        <v>32</v>
      </c>
      <c r="R43" s="301"/>
      <c r="S43" s="301"/>
      <c r="T43" s="301"/>
      <c r="U43" s="302">
        <f>U41*U42</f>
        <v>2603.9491783152025</v>
      </c>
    </row>
    <row r="44" spans="1:32" ht="16.5" customHeight="1">
      <c r="B44" s="220" t="s">
        <v>117</v>
      </c>
      <c r="I44" s="274"/>
      <c r="M44" s="270"/>
      <c r="N44" s="296">
        <f>SUM(N40:N43)</f>
        <v>5464.6997458737314</v>
      </c>
      <c r="O44" s="297"/>
      <c r="Y44" s="207"/>
      <c r="Z44" s="207"/>
      <c r="AA44" s="207"/>
      <c r="AB44" s="207"/>
      <c r="AC44" s="207"/>
      <c r="AD44" s="207"/>
      <c r="AE44" s="207"/>
      <c r="AF44" s="207"/>
    </row>
    <row r="45" spans="1:32" ht="16.5" customHeight="1" thickBot="1">
      <c r="N45" s="276"/>
      <c r="O45" s="276"/>
      <c r="Q45" s="288" t="s">
        <v>133</v>
      </c>
      <c r="R45" s="289"/>
      <c r="S45" s="289"/>
      <c r="T45" s="290"/>
      <c r="U45" s="291"/>
      <c r="Y45" s="207"/>
      <c r="Z45" s="244"/>
      <c r="AA45" s="207"/>
      <c r="AB45" s="207"/>
      <c r="AC45" s="207"/>
      <c r="AD45" s="207"/>
      <c r="AE45" s="207"/>
      <c r="AF45" s="207"/>
    </row>
    <row r="46" spans="1:32" ht="16.5" customHeight="1" thickBot="1">
      <c r="B46" s="304" t="str">
        <f>""&amp;B44&amp;" (rounded)"</f>
        <v>Purchase Consideration to be Allocated (rounded)</v>
      </c>
      <c r="C46" s="305"/>
      <c r="D46" s="305"/>
      <c r="E46" s="306"/>
      <c r="F46" s="306"/>
      <c r="G46" s="306"/>
      <c r="H46" s="306"/>
      <c r="I46" s="306"/>
      <c r="J46" s="306"/>
      <c r="K46" s="306"/>
      <c r="L46" s="306"/>
      <c r="M46" s="306"/>
      <c r="N46" s="307">
        <f>ROUND(N44,-1)</f>
        <v>5460</v>
      </c>
      <c r="O46" s="308"/>
      <c r="Q46" s="292" t="s">
        <v>134</v>
      </c>
      <c r="R46" s="293"/>
      <c r="S46" s="270"/>
      <c r="T46" s="270"/>
      <c r="U46" s="515">
        <f>'Hist BS (All)'!K31</f>
        <v>27.125</v>
      </c>
      <c r="Y46" s="207"/>
      <c r="Z46" s="409"/>
      <c r="AA46" s="207"/>
      <c r="AB46" s="207"/>
      <c r="AC46" s="207"/>
      <c r="AD46" s="410"/>
      <c r="AE46" s="207"/>
      <c r="AF46" s="207"/>
    </row>
    <row r="47" spans="1:32" ht="16.5" customHeight="1" thickBot="1">
      <c r="Q47" s="292" t="s">
        <v>135</v>
      </c>
      <c r="R47" s="293"/>
      <c r="S47" s="293"/>
      <c r="T47" s="293"/>
      <c r="U47" s="309">
        <f>G30*J5</f>
        <v>542.5</v>
      </c>
      <c r="V47" s="293"/>
      <c r="W47" s="206"/>
      <c r="Y47" s="207"/>
      <c r="Z47" s="409"/>
      <c r="AA47" s="207"/>
      <c r="AB47" s="207"/>
      <c r="AC47" s="207"/>
      <c r="AD47" s="293"/>
      <c r="AE47" s="207"/>
      <c r="AF47" s="207"/>
    </row>
    <row r="48" spans="1:32" ht="16.5" customHeight="1" thickBot="1">
      <c r="B48" s="310" t="s">
        <v>84</v>
      </c>
      <c r="C48" s="311"/>
      <c r="D48" s="311"/>
      <c r="E48" s="311"/>
      <c r="F48" s="311"/>
      <c r="G48" s="311"/>
      <c r="H48" s="311"/>
      <c r="I48" s="311"/>
      <c r="J48" s="311"/>
      <c r="K48" s="311"/>
      <c r="L48" s="311"/>
      <c r="M48" s="311"/>
      <c r="N48" s="312">
        <v>0.17727664587</v>
      </c>
      <c r="O48" s="313"/>
      <c r="Q48" s="300" t="s">
        <v>53</v>
      </c>
      <c r="R48" s="301"/>
      <c r="S48" s="301"/>
      <c r="T48" s="301"/>
      <c r="U48" s="314">
        <f>U46-U47</f>
        <v>-515.375</v>
      </c>
      <c r="Y48" s="207"/>
      <c r="Z48" s="409"/>
      <c r="AA48" s="207"/>
      <c r="AB48" s="207"/>
      <c r="AC48" s="207"/>
      <c r="AD48" s="410"/>
      <c r="AE48" s="207"/>
      <c r="AF48" s="207"/>
    </row>
    <row r="49" spans="1:30" s="207" customFormat="1" ht="16.5" customHeight="1">
      <c r="A49" s="315"/>
      <c r="B49" s="315"/>
      <c r="C49" s="315"/>
      <c r="D49" s="315"/>
      <c r="E49" s="315"/>
      <c r="F49" s="315"/>
      <c r="G49" s="315"/>
      <c r="H49" s="315"/>
      <c r="I49" s="315"/>
      <c r="J49" s="315"/>
      <c r="K49" s="315"/>
      <c r="L49" s="315"/>
      <c r="M49" s="315"/>
      <c r="N49" s="315"/>
      <c r="O49" s="315"/>
      <c r="P49" s="315"/>
      <c r="Q49" s="315"/>
      <c r="R49" s="316"/>
      <c r="S49" s="315"/>
      <c r="T49" s="315"/>
      <c r="U49" s="315"/>
      <c r="V49" s="315"/>
      <c r="W49" s="317"/>
      <c r="X49" s="315"/>
      <c r="Z49" s="409"/>
      <c r="AD49" s="411"/>
    </row>
    <row r="50" spans="1:30" ht="16.5" customHeight="1">
      <c r="A50" s="189" t="s">
        <v>25</v>
      </c>
    </row>
    <row r="51" spans="1:30" ht="16.5" customHeight="1">
      <c r="A51" s="275">
        <v>1</v>
      </c>
      <c r="B51" s="335" t="str">
        <f>"Net working capital level equal to "&amp;TEXT(G30,"0.0%")&amp;" of revenue based on an analysis of comparable guideline companies."</f>
        <v>Net working capital level equal to 10.0% of revenue based on an analysis of comparable guideline companies.</v>
      </c>
      <c r="C51" s="516"/>
      <c r="D51" s="516"/>
      <c r="E51" s="516"/>
      <c r="F51" s="516"/>
      <c r="G51" s="516"/>
      <c r="H51" s="516"/>
      <c r="I51" s="516"/>
      <c r="J51" s="516"/>
      <c r="K51" s="516"/>
      <c r="L51" s="516"/>
      <c r="M51" s="516"/>
      <c r="N51" s="516"/>
      <c r="O51" s="516"/>
      <c r="P51" s="516"/>
      <c r="Q51" s="516"/>
      <c r="R51" s="516"/>
      <c r="S51" s="516"/>
      <c r="T51" s="329"/>
      <c r="U51" s="329"/>
      <c r="V51" s="329"/>
      <c r="W51" s="329"/>
    </row>
    <row r="52" spans="1:30" ht="16.5" customHeight="1">
      <c r="A52" s="275">
        <v>2</v>
      </c>
      <c r="B52" s="335" t="str">
        <f>"Capital expenditures level equal to "&amp;TEXT(G31,"0.0%")&amp;" of revenue based on an analysis of comparable guideline companies."</f>
        <v>Capital expenditures level equal to 10.0% of revenue based on an analysis of comparable guideline companies.</v>
      </c>
      <c r="C52" s="516"/>
      <c r="D52" s="516"/>
      <c r="E52" s="516"/>
      <c r="F52" s="516"/>
      <c r="G52" s="516"/>
      <c r="H52" s="516"/>
      <c r="I52" s="516"/>
      <c r="J52" s="516"/>
      <c r="K52" s="516"/>
      <c r="L52" s="516"/>
      <c r="M52" s="516"/>
      <c r="N52" s="516"/>
      <c r="O52" s="516"/>
      <c r="P52" s="516"/>
      <c r="Q52" s="516"/>
      <c r="R52" s="516"/>
      <c r="S52" s="516"/>
      <c r="T52" s="329"/>
      <c r="U52" s="329"/>
      <c r="V52" s="329"/>
      <c r="W52" s="329"/>
    </row>
    <row r="53" spans="1:30" ht="16.5" customHeight="1">
      <c r="A53" s="275">
        <v>3</v>
      </c>
      <c r="B53" s="335" t="s">
        <v>54</v>
      </c>
      <c r="C53" s="516"/>
      <c r="D53" s="516"/>
      <c r="E53" s="516"/>
      <c r="F53" s="516"/>
      <c r="G53" s="516"/>
      <c r="H53" s="516"/>
      <c r="I53" s="516"/>
      <c r="J53" s="516"/>
      <c r="K53" s="516"/>
      <c r="L53" s="516"/>
      <c r="M53" s="516"/>
      <c r="N53" s="516"/>
      <c r="O53" s="516"/>
      <c r="P53" s="516"/>
      <c r="Q53" s="516"/>
      <c r="R53" s="516"/>
      <c r="S53" s="516"/>
      <c r="T53" s="329"/>
      <c r="U53" s="329"/>
      <c r="V53" s="329"/>
      <c r="W53" s="329"/>
    </row>
    <row r="54" spans="1:30" s="260" customFormat="1" ht="16.5" customHeight="1" thickBot="1">
      <c r="A54" s="242"/>
      <c r="B54" s="318"/>
      <c r="C54" s="319"/>
      <c r="D54" s="319"/>
      <c r="E54" s="319"/>
      <c r="F54" s="319"/>
      <c r="G54" s="319"/>
      <c r="H54" s="319"/>
      <c r="I54" s="319"/>
      <c r="J54" s="319"/>
      <c r="K54" s="319"/>
      <c r="L54" s="319"/>
      <c r="M54" s="319"/>
      <c r="N54" s="319"/>
      <c r="O54" s="319"/>
      <c r="P54" s="319"/>
      <c r="Q54" s="319"/>
      <c r="R54" s="319"/>
      <c r="S54" s="319"/>
      <c r="T54" s="320"/>
      <c r="U54" s="320"/>
      <c r="V54" s="320"/>
      <c r="W54" s="321"/>
    </row>
    <row r="55" spans="1:30" s="260" customFormat="1" ht="16.5" customHeight="1" thickBot="1">
      <c r="A55" s="242"/>
      <c r="B55" s="318"/>
      <c r="C55" s="319"/>
      <c r="D55" s="319"/>
      <c r="E55" s="319"/>
      <c r="F55" s="319"/>
      <c r="G55" s="319"/>
      <c r="H55" s="319"/>
      <c r="I55" s="319"/>
      <c r="J55" s="322"/>
      <c r="K55" s="323"/>
      <c r="L55" s="323"/>
      <c r="M55" s="324"/>
      <c r="N55" s="324"/>
      <c r="O55" s="325"/>
      <c r="P55" s="325"/>
      <c r="Q55" s="325"/>
      <c r="R55" s="325"/>
      <c r="S55" s="325"/>
      <c r="T55" s="325"/>
      <c r="U55" s="325"/>
      <c r="V55" s="326"/>
      <c r="W55" s="327" t="str">
        <f>W2</f>
        <v>Terminal</v>
      </c>
    </row>
    <row r="56" spans="1:30" ht="16.5" customHeight="1" thickBot="1">
      <c r="A56" s="328" t="s">
        <v>5</v>
      </c>
      <c r="B56" s="329" t="s">
        <v>5</v>
      </c>
      <c r="C56" s="329"/>
      <c r="D56" s="329"/>
      <c r="E56" s="329"/>
      <c r="F56" s="329"/>
      <c r="G56" s="329"/>
      <c r="H56" s="329"/>
      <c r="I56" s="329"/>
      <c r="J56" s="330"/>
      <c r="K56" s="331"/>
      <c r="L56" s="331"/>
      <c r="M56" s="332" t="s">
        <v>214</v>
      </c>
      <c r="N56" s="333">
        <f>N6/'Assumption Sheet'!G6</f>
        <v>5425</v>
      </c>
      <c r="O56" s="333"/>
      <c r="P56" s="333">
        <f t="shared" ref="P56:U56" si="18">P6</f>
        <v>6238.7499999999991</v>
      </c>
      <c r="Q56" s="333">
        <f t="shared" si="18"/>
        <v>7174.5624999999982</v>
      </c>
      <c r="R56" s="333">
        <f t="shared" si="18"/>
        <v>7892.0187499999984</v>
      </c>
      <c r="S56" s="333">
        <f t="shared" si="18"/>
        <v>8681.2206249999981</v>
      </c>
      <c r="T56" s="333">
        <f t="shared" si="18"/>
        <v>9115.2816562499993</v>
      </c>
      <c r="U56" s="333">
        <f t="shared" si="18"/>
        <v>9571.0457390624997</v>
      </c>
      <c r="V56" s="321"/>
      <c r="W56" s="334">
        <f>W6</f>
        <v>9858.1771112343758</v>
      </c>
    </row>
    <row r="57" spans="1:30" ht="16.5" customHeight="1">
      <c r="C57" s="335"/>
      <c r="E57" s="336" t="s">
        <v>91</v>
      </c>
      <c r="F57" s="337"/>
      <c r="G57" s="338"/>
      <c r="H57" s="339"/>
      <c r="J57" s="340"/>
      <c r="K57" s="207"/>
      <c r="L57" s="207"/>
      <c r="M57" s="341" t="s">
        <v>215</v>
      </c>
      <c r="N57" s="342">
        <f>G30</f>
        <v>0.1</v>
      </c>
      <c r="O57" s="342"/>
      <c r="P57" s="342">
        <f>$N$57</f>
        <v>0.1</v>
      </c>
      <c r="Q57" s="342">
        <f t="shared" ref="Q57:U57" si="19">$N$57</f>
        <v>0.1</v>
      </c>
      <c r="R57" s="342">
        <f t="shared" si="19"/>
        <v>0.1</v>
      </c>
      <c r="S57" s="342">
        <f t="shared" si="19"/>
        <v>0.1</v>
      </c>
      <c r="T57" s="342">
        <f t="shared" si="19"/>
        <v>0.1</v>
      </c>
      <c r="U57" s="342">
        <f t="shared" si="19"/>
        <v>0.1</v>
      </c>
      <c r="W57" s="343">
        <f t="shared" ref="W57" si="20">U57</f>
        <v>0.1</v>
      </c>
    </row>
    <row r="58" spans="1:30" ht="16.5" customHeight="1">
      <c r="E58" s="344"/>
      <c r="F58" s="207"/>
      <c r="G58" s="345"/>
      <c r="H58" s="346"/>
      <c r="J58" s="340"/>
      <c r="K58" s="207"/>
      <c r="L58" s="207"/>
      <c r="M58" s="341" t="s">
        <v>216</v>
      </c>
      <c r="N58" s="347">
        <f>N56*N57</f>
        <v>542.5</v>
      </c>
      <c r="O58" s="347"/>
      <c r="P58" s="347">
        <f t="shared" ref="P58:W58" si="21">P56*P57</f>
        <v>623.875</v>
      </c>
      <c r="Q58" s="347">
        <f t="shared" si="21"/>
        <v>717.45624999999984</v>
      </c>
      <c r="R58" s="347">
        <f t="shared" si="21"/>
        <v>789.20187499999986</v>
      </c>
      <c r="S58" s="347">
        <f t="shared" si="21"/>
        <v>868.12206249999986</v>
      </c>
      <c r="T58" s="347">
        <f t="shared" si="21"/>
        <v>911.52816562499993</v>
      </c>
      <c r="U58" s="347">
        <f t="shared" si="21"/>
        <v>957.10457390625004</v>
      </c>
      <c r="V58" s="303"/>
      <c r="W58" s="348">
        <f t="shared" si="21"/>
        <v>985.81771112343768</v>
      </c>
    </row>
    <row r="59" spans="1:30" ht="16.5" customHeight="1">
      <c r="E59" s="349" t="s">
        <v>71</v>
      </c>
      <c r="F59" s="207"/>
      <c r="G59" s="350">
        <f>+Summary!F8-Summary!F14</f>
        <v>5018.125</v>
      </c>
      <c r="H59" s="206"/>
      <c r="J59" s="340"/>
      <c r="K59" s="207"/>
      <c r="L59" s="207"/>
      <c r="M59" s="341" t="s">
        <v>217</v>
      </c>
      <c r="N59" s="351">
        <f>'Hist IS (All)'!I11*IRR!N57</f>
        <v>537.07500000000005</v>
      </c>
      <c r="O59" s="351"/>
      <c r="P59" s="351">
        <f>N58</f>
        <v>542.5</v>
      </c>
      <c r="Q59" s="351">
        <f>P58</f>
        <v>623.875</v>
      </c>
      <c r="R59" s="351">
        <f t="shared" ref="R59:U59" si="22">Q58</f>
        <v>717.45624999999984</v>
      </c>
      <c r="S59" s="351">
        <f t="shared" si="22"/>
        <v>789.20187499999986</v>
      </c>
      <c r="T59" s="351">
        <f t="shared" si="22"/>
        <v>868.12206249999986</v>
      </c>
      <c r="U59" s="351">
        <f t="shared" si="22"/>
        <v>911.52816562499993</v>
      </c>
      <c r="W59" s="352">
        <f>U58</f>
        <v>957.10457390625004</v>
      </c>
    </row>
    <row r="60" spans="1:30" ht="16.5" customHeight="1" thickBot="1">
      <c r="E60" s="349" t="s">
        <v>72</v>
      </c>
      <c r="F60" s="207"/>
      <c r="G60" s="350">
        <v>15</v>
      </c>
      <c r="H60" s="206"/>
      <c r="J60" s="353"/>
      <c r="K60" s="354"/>
      <c r="L60" s="354"/>
      <c r="M60" s="355" t="s">
        <v>218</v>
      </c>
      <c r="N60" s="356">
        <f>N58-N59</f>
        <v>5.4249999999999545</v>
      </c>
      <c r="O60" s="356"/>
      <c r="P60" s="356">
        <f>P58-P59</f>
        <v>81.375</v>
      </c>
      <c r="Q60" s="356">
        <f t="shared" ref="Q60:T60" si="23">Q58-Q59</f>
        <v>93.581249999999841</v>
      </c>
      <c r="R60" s="356">
        <f t="shared" si="23"/>
        <v>71.745625000000018</v>
      </c>
      <c r="S60" s="356">
        <f t="shared" si="23"/>
        <v>78.920187499999997</v>
      </c>
      <c r="T60" s="356">
        <f t="shared" si="23"/>
        <v>43.406103125000072</v>
      </c>
      <c r="U60" s="356">
        <f t="shared" ref="U60:W60" si="24">U58-U59</f>
        <v>45.57640828125011</v>
      </c>
      <c r="V60" s="357"/>
      <c r="W60" s="358">
        <f t="shared" si="24"/>
        <v>28.713137217187636</v>
      </c>
    </row>
    <row r="61" spans="1:30" ht="16.5" customHeight="1">
      <c r="E61" s="349" t="s">
        <v>58</v>
      </c>
      <c r="F61" s="207"/>
      <c r="G61" s="359">
        <f>N48</f>
        <v>0.17727664587</v>
      </c>
      <c r="H61" s="267"/>
    </row>
    <row r="62" spans="1:30" ht="16.5" customHeight="1">
      <c r="E62" s="349" t="s">
        <v>34</v>
      </c>
      <c r="F62" s="207"/>
      <c r="G62" s="360">
        <f>G25</f>
        <v>0.26134999999999997</v>
      </c>
      <c r="H62" s="361"/>
    </row>
    <row r="63" spans="1:30" ht="16.5" customHeight="1" thickBot="1">
      <c r="E63" s="362" t="s">
        <v>91</v>
      </c>
      <c r="F63" s="354"/>
      <c r="G63" s="363">
        <f>G59*(G60/(G60-((PV(G61,G60,-1)*(1+G61)^0.5)*G62))-1)</f>
        <v>541.62840752561669</v>
      </c>
      <c r="H63" s="297"/>
      <c r="Z63" s="364"/>
    </row>
    <row r="64" spans="1:30" ht="16.5" customHeight="1">
      <c r="Z64" s="364"/>
    </row>
    <row r="65" spans="26:26" ht="16.5" customHeight="1">
      <c r="Z65" s="364"/>
    </row>
    <row r="66" spans="26:26" ht="16.5" customHeight="1">
      <c r="Z66" s="364"/>
    </row>
    <row r="67" spans="26:26" ht="16.5" customHeight="1">
      <c r="Z67" s="364"/>
    </row>
    <row r="68" spans="26:26" ht="16.5" customHeight="1">
      <c r="Z68" s="364"/>
    </row>
  </sheetData>
  <phoneticPr fontId="11" type="noConversion"/>
  <printOptions horizontalCentered="1"/>
  <pageMargins left="0.5" right="0.5" top="0.5" bottom="0.5" header="0.3" footer="0.3"/>
  <pageSetup scale="43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33"/>
  <sheetViews>
    <sheetView showGridLines="0" view="pageBreakPreview" topLeftCell="A13" zoomScale="78" zoomScaleNormal="100" zoomScaleSheetLayoutView="78" workbookViewId="0">
      <selection activeCell="A30" sqref="A30"/>
    </sheetView>
  </sheetViews>
  <sheetFormatPr defaultRowHeight="15"/>
  <cols>
    <col min="1" max="1" width="3.25" style="189" customWidth="1"/>
    <col min="2" max="2" width="9" style="189" customWidth="1"/>
    <col min="3" max="3" width="36.625" style="189" customWidth="1"/>
    <col min="4" max="5" width="13.625" style="189" customWidth="1"/>
    <col min="6" max="6" width="15" style="189" customWidth="1"/>
    <col min="7" max="9" width="13.625" style="189" customWidth="1"/>
    <col min="10" max="10" width="14.625" style="189" bestFit="1" customWidth="1"/>
    <col min="11" max="15" width="13.625" style="189" customWidth="1"/>
    <col min="16" max="16" width="2.625" style="189" customWidth="1"/>
    <col min="17" max="17" width="2.25" style="189" customWidth="1"/>
    <col min="18" max="18" width="5.5" style="189" customWidth="1"/>
    <col min="19" max="19" width="14.625" style="189" customWidth="1"/>
    <col min="20" max="16384" width="9" style="189"/>
  </cols>
  <sheetData>
    <row r="1" spans="2:19">
      <c r="C1" s="190"/>
      <c r="S1" s="207"/>
    </row>
    <row r="2" spans="2:19" ht="30">
      <c r="B2" s="191" t="s">
        <v>1</v>
      </c>
      <c r="C2" s="192" t="s">
        <v>20</v>
      </c>
      <c r="D2" s="193" t="s">
        <v>4</v>
      </c>
      <c r="E2" s="193" t="s">
        <v>170</v>
      </c>
      <c r="F2" s="193" t="s">
        <v>171</v>
      </c>
      <c r="G2" s="193" t="s">
        <v>172</v>
      </c>
      <c r="H2" s="193" t="s">
        <v>173</v>
      </c>
      <c r="I2" s="193" t="s">
        <v>24</v>
      </c>
      <c r="J2" s="193" t="s">
        <v>174</v>
      </c>
      <c r="K2" s="193" t="s">
        <v>175</v>
      </c>
      <c r="L2" s="193" t="s">
        <v>176</v>
      </c>
      <c r="M2" s="193" t="s">
        <v>177</v>
      </c>
      <c r="N2" s="193" t="s">
        <v>178</v>
      </c>
      <c r="O2" s="194" t="s">
        <v>179</v>
      </c>
      <c r="S2" s="513"/>
    </row>
    <row r="3" spans="2:19">
      <c r="B3" s="195" t="s">
        <v>119</v>
      </c>
      <c r="C3" s="196" t="str">
        <f>IFERROR(_xll.ciqfunctions.udf.CIQ(B3, "IQ_COMPANY_NAME"), "")</f>
        <v>#CIQINACTIVE</v>
      </c>
      <c r="D3" s="197" t="str">
        <f>IFERROR(_xll.ciqfunctions.udf.CIQ(B3, "IQ_LASTSALEPRICE", Val_Date, "USD", "H"), "")</f>
        <v>#CIQINACTIVE</v>
      </c>
      <c r="E3" s="198" t="str">
        <f>IFERROR(_xll.ciqfunctions.udf.CIQ(B3, "IQ_TOTAL_OUTSTANDING_BS_DATE", , Val_Date), "")</f>
        <v>#CIQINACTIVE</v>
      </c>
      <c r="F3" s="199" t="str">
        <f>IFERROR(D3*E3, "")</f>
        <v/>
      </c>
      <c r="G3" s="199" t="str">
        <f>IFERROR(_xll.ciqfunctions.udf.CIQ(B3,"IQ_TOTAL_DEBT",IQ_LTM,Val_Date,,,"USD"),"")</f>
        <v>#CIQINACTIVE</v>
      </c>
      <c r="H3" s="199" t="str">
        <f>IFERROR(_xll.ciqfunctions.udf.CIQ(B3,"IQ_PREF_EQUITY",IQ_LTM,Val_Date,,,"USD"), "")</f>
        <v>#CIQINACTIVE</v>
      </c>
      <c r="I3" s="199" t="str">
        <f>IFERROR(_xll.ciqfunctions.udf.CIQ(B3, "IQ_MINORITY_INTEREST",IQ_LTM,Val_Date,,,"USD"),"")</f>
        <v>#CIQINACTIVE</v>
      </c>
      <c r="J3" s="199">
        <f t="shared" ref="J3:J10" si="0">SUM(F3:I3)</f>
        <v>0</v>
      </c>
      <c r="K3" s="200" t="str">
        <f t="shared" ref="K3:K10" si="1">IFERROR(G3/J3, "")</f>
        <v/>
      </c>
      <c r="L3" s="200" t="str">
        <f t="shared" ref="L3:L10" si="2">IFERROR(1-K3, "")</f>
        <v/>
      </c>
      <c r="M3" s="201">
        <f>IF(OR(S3="N/A",S3&lt;0.05),$D$23,S3)</f>
        <v>0.26134999999999997</v>
      </c>
      <c r="N3" s="202">
        <v>1.3</v>
      </c>
      <c r="O3" s="203" t="str">
        <f t="shared" ref="O3:O10" si="3">IFERROR(N3/(1+(1-M3)*(K3/L3)), "")</f>
        <v/>
      </c>
      <c r="S3" s="514"/>
    </row>
    <row r="4" spans="2:19">
      <c r="B4" s="195" t="s">
        <v>120</v>
      </c>
      <c r="C4" s="196" t="str">
        <f>IFERROR(_xll.ciqfunctions.udf.CIQ(B4, "IQ_COMPANY_NAME"), "")</f>
        <v>#CIQINACTIVE</v>
      </c>
      <c r="D4" s="204" t="str">
        <f>IFERROR(_xll.ciqfunctions.udf.CIQ(B4, "IQ_LASTSALEPRICE", Val_Date, "USD", "H"), "")</f>
        <v>#CIQINACTIVE</v>
      </c>
      <c r="E4" s="198" t="str">
        <f>IFERROR(_xll.ciqfunctions.udf.CIQ(B4, "IQ_TOTAL_OUTSTANDING_BS_DATE", , Val_Date), "")</f>
        <v>#CIQINACTIVE</v>
      </c>
      <c r="F4" s="205" t="str">
        <f t="shared" ref="F4:F10" si="4">IFERROR(D4*E4, "")</f>
        <v/>
      </c>
      <c r="G4" s="205" t="str">
        <f>IFERROR(_xll.ciqfunctions.udf.CIQ(B4,"IQ_TOTAL_DEBT",IQ_LTM,Val_Date,,,"USD"),"")</f>
        <v>#CIQINACTIVE</v>
      </c>
      <c r="H4" s="205" t="str">
        <f>IFERROR(_xll.ciqfunctions.udf.CIQ(B4,"IQ_PREF_EQUITY",IQ_LTM,Val_Date,,,"USD"), "")</f>
        <v>#CIQINACTIVE</v>
      </c>
      <c r="I4" s="205" t="str">
        <f>IFERROR(_xll.ciqfunctions.udf.CIQ(B4, "IQ_MINORITY_INTEREST",IQ_LTM,Val_Date,,,"USD"),"")</f>
        <v>#CIQINACTIVE</v>
      </c>
      <c r="J4" s="206">
        <f t="shared" si="0"/>
        <v>0</v>
      </c>
      <c r="K4" s="200" t="str">
        <f t="shared" si="1"/>
        <v/>
      </c>
      <c r="L4" s="200" t="str">
        <f t="shared" si="2"/>
        <v/>
      </c>
      <c r="M4" s="201">
        <f>IF(OR(S4="N/A",S4&lt;0.05),$D$23,S4)</f>
        <v>0.26134999999999997</v>
      </c>
      <c r="N4" s="202">
        <v>0.84799999999999998</v>
      </c>
      <c r="O4" s="203" t="str">
        <f t="shared" si="3"/>
        <v/>
      </c>
      <c r="S4" s="514"/>
    </row>
    <row r="5" spans="2:19">
      <c r="B5" s="195" t="s">
        <v>121</v>
      </c>
      <c r="C5" s="196" t="str">
        <f>IFERROR(_xll.ciqfunctions.udf.CIQ(B5, "IQ_COMPANY_NAME"), "")</f>
        <v>#CIQINACTIVE</v>
      </c>
      <c r="D5" s="204" t="str">
        <f>IFERROR(_xll.ciqfunctions.udf.CIQ(B5, "IQ_LASTSALEPRICE", Val_Date, "USD", "H"), "")</f>
        <v>#CIQINACTIVE</v>
      </c>
      <c r="E5" s="198" t="str">
        <f>IFERROR(_xll.ciqfunctions.udf.CIQ(B5, "IQ_TOTAL_OUTSTANDING_BS_DATE", , Val_Date), "")</f>
        <v>#CIQINACTIVE</v>
      </c>
      <c r="F5" s="205" t="str">
        <f t="shared" si="4"/>
        <v/>
      </c>
      <c r="G5" s="205" t="str">
        <f>IFERROR(_xll.ciqfunctions.udf.CIQ(B5,"IQ_TOTAL_DEBT",IQ_LTM,Val_Date,,,"USD"),"")</f>
        <v>#CIQINACTIVE</v>
      </c>
      <c r="H5" s="205" t="str">
        <f>IFERROR(_xll.ciqfunctions.udf.CIQ(B5,"IQ_PREF_EQUITY",IQ_LTM,Val_Date,,,"USD"), "")</f>
        <v>#CIQINACTIVE</v>
      </c>
      <c r="I5" s="205" t="str">
        <f>IFERROR(_xll.ciqfunctions.udf.CIQ(B5, "IQ_MINORITY_INTEREST",IQ_LTM,Val_Date,,,"USD"),"")</f>
        <v>#CIQINACTIVE</v>
      </c>
      <c r="J5" s="206">
        <f t="shared" si="0"/>
        <v>0</v>
      </c>
      <c r="K5" s="200" t="str">
        <f t="shared" si="1"/>
        <v/>
      </c>
      <c r="L5" s="200" t="str">
        <f t="shared" si="2"/>
        <v/>
      </c>
      <c r="M5" s="201">
        <f>IF(OR(S5="N/A",S5&lt;0.05),$D$23,S5)</f>
        <v>0.26134999999999997</v>
      </c>
      <c r="N5" s="202">
        <v>1.4</v>
      </c>
      <c r="O5" s="203" t="str">
        <f t="shared" si="3"/>
        <v/>
      </c>
      <c r="S5" s="514"/>
    </row>
    <row r="6" spans="2:19">
      <c r="B6" s="195" t="s">
        <v>122</v>
      </c>
      <c r="C6" s="196" t="str">
        <f>IFERROR(_xll.ciqfunctions.udf.CIQ(B6, "IQ_COMPANY_NAME"), "")</f>
        <v>#CIQINACTIVE</v>
      </c>
      <c r="D6" s="204" t="str">
        <f>IFERROR(_xll.ciqfunctions.udf.CIQ(B6, "IQ_LASTSALEPRICE", Val_Date, "USD", "H"), "")</f>
        <v>#CIQINACTIVE</v>
      </c>
      <c r="E6" s="198" t="str">
        <f>IFERROR(_xll.ciqfunctions.udf.CIQ(B6, "IQ_TOTAL_OUTSTANDING_BS_DATE", , Val_Date), "")</f>
        <v>#CIQINACTIVE</v>
      </c>
      <c r="F6" s="205" t="str">
        <f t="shared" si="4"/>
        <v/>
      </c>
      <c r="G6" s="205" t="str">
        <f>IFERROR(_xll.ciqfunctions.udf.CIQ(B6,"IQ_TOTAL_DEBT",IQ_LTM,Val_Date,,,"USD"),"")</f>
        <v>#CIQINACTIVE</v>
      </c>
      <c r="H6" s="205" t="str">
        <f>IFERROR(_xll.ciqfunctions.udf.CIQ(B6,"IQ_PREF_EQUITY",IQ_LTM,Val_Date,,,"USD"), "")</f>
        <v>#CIQINACTIVE</v>
      </c>
      <c r="I6" s="205" t="str">
        <f>IFERROR(_xll.ciqfunctions.udf.CIQ(B6, "IQ_MINORITY_INTEREST",IQ_LTM,Val_Date,,,"USD"),"")</f>
        <v>#CIQINACTIVE</v>
      </c>
      <c r="J6" s="206">
        <f t="shared" si="0"/>
        <v>0</v>
      </c>
      <c r="K6" s="200" t="str">
        <f t="shared" si="1"/>
        <v/>
      </c>
      <c r="L6" s="200" t="str">
        <f t="shared" si="2"/>
        <v/>
      </c>
      <c r="M6" s="201">
        <f>IF(OR(S6="N/A",S6&lt;0.05),$D$23,S6)</f>
        <v>0.26134999999999997</v>
      </c>
      <c r="N6" s="202">
        <v>1.3</v>
      </c>
      <c r="O6" s="203" t="str">
        <f t="shared" si="3"/>
        <v/>
      </c>
      <c r="S6" s="514"/>
    </row>
    <row r="7" spans="2:19">
      <c r="B7" s="195" t="s">
        <v>123</v>
      </c>
      <c r="C7" s="196" t="str">
        <f>IFERROR(_xll.ciqfunctions.udf.CIQ(B7, "IQ_COMPANY_NAME"), "")</f>
        <v>#CIQINACTIVE</v>
      </c>
      <c r="D7" s="204" t="str">
        <f>IFERROR(_xll.ciqfunctions.udf.CIQ(B7, "IQ_LASTSALEPRICE", Val_Date, "USD", "H"), "")</f>
        <v>#CIQINACTIVE</v>
      </c>
      <c r="E7" s="198" t="str">
        <f>IFERROR(_xll.ciqfunctions.udf.CIQ(B7, "IQ_TOTAL_OUTSTANDING_BS_DATE", , Val_Date), "")</f>
        <v>#CIQINACTIVE</v>
      </c>
      <c r="F7" s="205" t="str">
        <f t="shared" si="4"/>
        <v/>
      </c>
      <c r="G7" s="205" t="str">
        <f>IFERROR(_xll.ciqfunctions.udf.CIQ(B7,"IQ_TOTAL_DEBT",IQ_LTM,Val_Date,,,"USD"),"")</f>
        <v>#CIQINACTIVE</v>
      </c>
      <c r="H7" s="205" t="str">
        <f>IFERROR(_xll.ciqfunctions.udf.CIQ(B7,"IQ_PREF_EQUITY",IQ_LTM,Val_Date,,,"USD"), "")</f>
        <v>#CIQINACTIVE</v>
      </c>
      <c r="I7" s="205" t="str">
        <f>IFERROR(_xll.ciqfunctions.udf.CIQ(B7, "IQ_MINORITY_INTEREST",IQ_LTM,Val_Date,,,"USD"),"")</f>
        <v>#CIQINACTIVE</v>
      </c>
      <c r="J7" s="206">
        <f t="shared" si="0"/>
        <v>0</v>
      </c>
      <c r="K7" s="200" t="str">
        <f t="shared" si="1"/>
        <v/>
      </c>
      <c r="L7" s="200" t="str">
        <f t="shared" si="2"/>
        <v/>
      </c>
      <c r="M7" s="201">
        <f t="shared" ref="M7:M9" si="5">IF(OR(S7="N/A",S7&lt;0.05),$D$23,S7)</f>
        <v>0.26134999999999997</v>
      </c>
      <c r="N7" s="202">
        <v>0.84799999999999998</v>
      </c>
      <c r="O7" s="203" t="str">
        <f t="shared" si="3"/>
        <v/>
      </c>
      <c r="S7" s="514"/>
    </row>
    <row r="8" spans="2:19">
      <c r="B8" s="195" t="s">
        <v>124</v>
      </c>
      <c r="C8" s="196" t="str">
        <f>IFERROR(_xll.ciqfunctions.udf.CIQ(B8, "IQ_COMPANY_NAME"), "")</f>
        <v>#CIQINACTIVE</v>
      </c>
      <c r="D8" s="204" t="str">
        <f>IFERROR(_xll.ciqfunctions.udf.CIQ(B8, "IQ_LASTSALEPRICE", Val_Date, "USD", "H"), "")</f>
        <v>#CIQINACTIVE</v>
      </c>
      <c r="E8" s="198" t="str">
        <f>IFERROR(_xll.ciqfunctions.udf.CIQ(B8, "IQ_TOTAL_OUTSTANDING_BS_DATE", , Val_Date), "")</f>
        <v>#CIQINACTIVE</v>
      </c>
      <c r="F8" s="205" t="str">
        <f t="shared" si="4"/>
        <v/>
      </c>
      <c r="G8" s="205" t="str">
        <f>IFERROR(_xll.ciqfunctions.udf.CIQ(B8,"IQ_TOTAL_DEBT",IQ_LTM,Val_Date,,,"USD"),"")</f>
        <v>#CIQINACTIVE</v>
      </c>
      <c r="H8" s="205" t="str">
        <f>IFERROR(_xll.ciqfunctions.udf.CIQ(B8,"IQ_PREF_EQUITY",IQ_LTM,Val_Date,,,"USD"), "")</f>
        <v>#CIQINACTIVE</v>
      </c>
      <c r="I8" s="205" t="str">
        <f>IFERROR(_xll.ciqfunctions.udf.CIQ(B8, "IQ_MINORITY_INTEREST",IQ_LTM,Val_Date,,,"USD"),"")</f>
        <v>#CIQINACTIVE</v>
      </c>
      <c r="J8" s="206">
        <f>SUM(F8:I8)</f>
        <v>0</v>
      </c>
      <c r="K8" s="200" t="str">
        <f>IFERROR(G8/J8, "")</f>
        <v/>
      </c>
      <c r="L8" s="200" t="str">
        <f>IFERROR(1-K8, "")</f>
        <v/>
      </c>
      <c r="M8" s="201">
        <f>IF(OR(S8="N/A",S8&lt;0.05),$D$23,S8)</f>
        <v>0.26134999999999997</v>
      </c>
      <c r="N8" s="202">
        <v>1.4</v>
      </c>
      <c r="O8" s="203" t="str">
        <f>IFERROR(N8/(1+(1-M8)*(K8/L8)), "")</f>
        <v/>
      </c>
      <c r="S8" s="514"/>
    </row>
    <row r="9" spans="2:19">
      <c r="B9" s="195" t="s">
        <v>125</v>
      </c>
      <c r="C9" s="196" t="str">
        <f>IFERROR(_xll.ciqfunctions.udf.CIQ(B9, "IQ_COMPANY_NAME"), "")</f>
        <v>#CIQINACTIVE</v>
      </c>
      <c r="D9" s="204" t="str">
        <f>IFERROR(_xll.ciqfunctions.udf.CIQ(B9, "IQ_LASTSALEPRICE", Val_Date, "USD", "H"), "")</f>
        <v>#CIQINACTIVE</v>
      </c>
      <c r="E9" s="198" t="str">
        <f>IFERROR(_xll.ciqfunctions.udf.CIQ(B9, "IQ_TOTAL_OUTSTANDING_BS_DATE", , Val_Date), "")</f>
        <v>#CIQINACTIVE</v>
      </c>
      <c r="F9" s="205" t="str">
        <f t="shared" si="4"/>
        <v/>
      </c>
      <c r="G9" s="205" t="str">
        <f>IFERROR(_xll.ciqfunctions.udf.CIQ(B9,"IQ_TOTAL_DEBT",IQ_LTM,Val_Date,,,"USD"),"")</f>
        <v>#CIQINACTIVE</v>
      </c>
      <c r="H9" s="205" t="str">
        <f>IFERROR(_xll.ciqfunctions.udf.CIQ(B9,"IQ_PREF_EQUITY",IQ_LTM,Val_Date,,,"USD"), "")</f>
        <v>#CIQINACTIVE</v>
      </c>
      <c r="I9" s="205" t="str">
        <f>IFERROR(_xll.ciqfunctions.udf.CIQ(B9, "IQ_MINORITY_INTEREST",IQ_LTM,Val_Date,,,"USD"),"")</f>
        <v>#CIQINACTIVE</v>
      </c>
      <c r="J9" s="206">
        <f t="shared" si="0"/>
        <v>0</v>
      </c>
      <c r="K9" s="200" t="str">
        <f t="shared" si="1"/>
        <v/>
      </c>
      <c r="L9" s="200" t="str">
        <f t="shared" si="2"/>
        <v/>
      </c>
      <c r="M9" s="201">
        <f t="shared" si="5"/>
        <v>0.26134999999999997</v>
      </c>
      <c r="N9" s="202">
        <v>0.84799999999999998</v>
      </c>
      <c r="O9" s="203" t="str">
        <f t="shared" si="3"/>
        <v/>
      </c>
      <c r="S9" s="514"/>
    </row>
    <row r="10" spans="2:19">
      <c r="B10" s="195" t="s">
        <v>126</v>
      </c>
      <c r="C10" s="196" t="str">
        <f>IFERROR(_xll.ciqfunctions.udf.CIQ(B10, "IQ_COMPANY_NAME"), "")</f>
        <v>#CIQINACTIVE</v>
      </c>
      <c r="D10" s="204" t="str">
        <f>IFERROR(_xll.ciqfunctions.udf.CIQ(B10, "IQ_LASTSALEPRICE", Val_Date, "USD", "H"), "")</f>
        <v>#CIQINACTIVE</v>
      </c>
      <c r="E10" s="198" t="str">
        <f>IFERROR(_xll.ciqfunctions.udf.CIQ(B10, "IQ_TOTAL_OUTSTANDING_BS_DATE", , Val_Date), "")</f>
        <v>#CIQINACTIVE</v>
      </c>
      <c r="F10" s="205" t="str">
        <f t="shared" si="4"/>
        <v/>
      </c>
      <c r="G10" s="205" t="str">
        <f>IFERROR(_xll.ciqfunctions.udf.CIQ(B10,"IQ_TOTAL_DEBT",IQ_LTM,Val_Date,,,"USD"),"")</f>
        <v>#CIQINACTIVE</v>
      </c>
      <c r="H10" s="205" t="str">
        <f>IFERROR(_xll.ciqfunctions.udf.CIQ(B10,"IQ_PREF_EQUITY",IQ_LTM,Val_Date,,,"USD"), "")</f>
        <v>#CIQINACTIVE</v>
      </c>
      <c r="I10" s="205" t="str">
        <f>IFERROR(_xll.ciqfunctions.udf.CIQ(B10, "IQ_MINORITY_INTEREST",IQ_LTM,Val_Date,,,"USD"),"")</f>
        <v>#CIQINACTIVE</v>
      </c>
      <c r="J10" s="206">
        <f t="shared" si="0"/>
        <v>0</v>
      </c>
      <c r="K10" s="200" t="str">
        <f t="shared" si="1"/>
        <v/>
      </c>
      <c r="L10" s="200" t="str">
        <f t="shared" si="2"/>
        <v/>
      </c>
      <c r="M10" s="201">
        <f>IF(OR(S10="N/A",S10&lt;0.05),$D$23,S10)</f>
        <v>0.26134999999999997</v>
      </c>
      <c r="N10" s="202">
        <v>1.4</v>
      </c>
      <c r="O10" s="203" t="str">
        <f t="shared" si="3"/>
        <v/>
      </c>
      <c r="S10" s="514"/>
    </row>
    <row r="11" spans="2:19" s="207" customFormat="1"/>
    <row r="12" spans="2:19">
      <c r="E12" s="207"/>
      <c r="F12" s="207"/>
      <c r="G12" s="207"/>
      <c r="H12" s="207"/>
      <c r="I12" s="207"/>
      <c r="J12" s="208" t="s">
        <v>41</v>
      </c>
      <c r="K12" s="209" t="str">
        <f>IFERROR(AVERAGE(K3:K10),"")</f>
        <v/>
      </c>
      <c r="L12" s="209" t="str">
        <f>IFERROR(AVERAGE(L3:L10),"")</f>
        <v/>
      </c>
      <c r="M12" s="209"/>
      <c r="N12" s="210"/>
      <c r="O12" s="211" t="str">
        <f>IFERROR(AVERAGE(O3:O10),"")</f>
        <v/>
      </c>
      <c r="R12" s="207"/>
      <c r="S12" s="207"/>
    </row>
    <row r="13" spans="2:19">
      <c r="E13" s="207"/>
      <c r="F13" s="207"/>
      <c r="G13" s="207"/>
      <c r="H13" s="207"/>
      <c r="I13" s="207"/>
      <c r="J13" s="212" t="s">
        <v>42</v>
      </c>
      <c r="K13" s="200" t="str">
        <f>IFERROR(MEDIAN(K3:K10),"")</f>
        <v/>
      </c>
      <c r="L13" s="200" t="str">
        <f>IFERROR(MEDIAN(L3:L10),"")</f>
        <v/>
      </c>
      <c r="M13" s="200"/>
      <c r="N13" s="213"/>
      <c r="O13" s="214" t="str">
        <f>IFERROR(MEDIAN(O3:O10),"")</f>
        <v/>
      </c>
      <c r="R13" s="207"/>
      <c r="S13" s="207"/>
    </row>
    <row r="14" spans="2:19">
      <c r="E14" s="207"/>
      <c r="F14" s="207"/>
      <c r="G14" s="207"/>
      <c r="H14" s="207"/>
      <c r="I14" s="207"/>
      <c r="J14" s="215" t="s">
        <v>19</v>
      </c>
      <c r="K14" s="216">
        <v>0.3</v>
      </c>
      <c r="L14" s="217">
        <f>1-K14</f>
        <v>0.7</v>
      </c>
      <c r="M14" s="218"/>
      <c r="N14" s="219"/>
      <c r="O14" s="246">
        <v>1</v>
      </c>
      <c r="R14" s="207"/>
      <c r="S14" s="207"/>
    </row>
    <row r="15" spans="2:19">
      <c r="R15" s="207"/>
      <c r="S15" s="207"/>
    </row>
    <row r="16" spans="2:19">
      <c r="R16" s="207"/>
      <c r="S16" s="207"/>
    </row>
    <row r="17" spans="1:20">
      <c r="B17" s="220" t="s">
        <v>201</v>
      </c>
      <c r="F17" s="220" t="s">
        <v>202</v>
      </c>
      <c r="K17" s="220" t="s">
        <v>203</v>
      </c>
      <c r="R17" s="207"/>
      <c r="S17" s="221"/>
    </row>
    <row r="18" spans="1:20" ht="18">
      <c r="B18" s="189" t="s">
        <v>179</v>
      </c>
      <c r="D18" s="222">
        <f>O14</f>
        <v>1</v>
      </c>
      <c r="F18" s="189" t="s">
        <v>270</v>
      </c>
      <c r="H18" s="224">
        <v>1.2200000000000001E-2</v>
      </c>
      <c r="I18" s="223"/>
      <c r="K18" s="189" t="s">
        <v>276</v>
      </c>
      <c r="O18" s="224">
        <v>0.04</v>
      </c>
      <c r="R18" s="207"/>
      <c r="S18" s="207"/>
    </row>
    <row r="19" spans="1:20" ht="18">
      <c r="B19" s="189" t="s">
        <v>180</v>
      </c>
      <c r="D19" s="223">
        <f>L14</f>
        <v>0.7</v>
      </c>
      <c r="F19" s="189" t="s">
        <v>277</v>
      </c>
      <c r="H19" s="224">
        <v>6.5000000000000002E-2</v>
      </c>
      <c r="I19" s="223"/>
      <c r="K19" s="189" t="s">
        <v>181</v>
      </c>
      <c r="O19" s="224">
        <f>Blended_Tax</f>
        <v>0.26134999999999997</v>
      </c>
      <c r="R19" s="207"/>
      <c r="S19" s="207"/>
    </row>
    <row r="20" spans="1:20" ht="15.75" thickBot="1">
      <c r="B20" s="189" t="s">
        <v>182</v>
      </c>
      <c r="D20" s="223">
        <f>K14</f>
        <v>0.3</v>
      </c>
      <c r="F20" s="189" t="s">
        <v>183</v>
      </c>
      <c r="H20" s="247">
        <f>D24</f>
        <v>1.32</v>
      </c>
      <c r="I20" s="222"/>
      <c r="K20" s="189" t="s">
        <v>273</v>
      </c>
      <c r="O20" s="225">
        <f>O18*(1-O19)</f>
        <v>2.9546000000000003E-2</v>
      </c>
      <c r="R20" s="207"/>
      <c r="S20" s="207"/>
    </row>
    <row r="21" spans="1:20" ht="15.75" thickTop="1">
      <c r="B21" s="189" t="s">
        <v>184</v>
      </c>
      <c r="D21" s="226">
        <v>0</v>
      </c>
      <c r="F21" s="189" t="s">
        <v>269</v>
      </c>
      <c r="H21" s="224">
        <v>5.2200000000000003E-2</v>
      </c>
      <c r="I21" s="223"/>
      <c r="R21" s="207"/>
      <c r="S21" s="207"/>
    </row>
    <row r="22" spans="1:20">
      <c r="B22" s="189" t="s">
        <v>185</v>
      </c>
      <c r="D22" s="226">
        <v>0</v>
      </c>
      <c r="F22" s="189" t="s">
        <v>274</v>
      </c>
      <c r="H22" s="224">
        <v>0.1</v>
      </c>
      <c r="I22" s="223"/>
      <c r="R22" s="207"/>
      <c r="S22" s="207"/>
    </row>
    <row r="23" spans="1:20" ht="15.75" thickBot="1">
      <c r="B23" s="189" t="s">
        <v>186</v>
      </c>
      <c r="D23" s="223">
        <f>O19</f>
        <v>0.26134999999999997</v>
      </c>
      <c r="F23" s="220" t="s">
        <v>275</v>
      </c>
      <c r="H23" s="225">
        <f>H18+H20*H19+H21+H22</f>
        <v>0.25019999999999998</v>
      </c>
      <c r="I23" s="227"/>
      <c r="O23" s="228" t="s">
        <v>187</v>
      </c>
      <c r="R23" s="207"/>
      <c r="S23" s="207"/>
    </row>
    <row r="24" spans="1:20" ht="16.5" thickTop="1" thickBot="1">
      <c r="B24" s="189" t="s">
        <v>271</v>
      </c>
      <c r="D24" s="229">
        <f>ROUND(D18*(1+(1-D23)*(D20/D19)),2)</f>
        <v>1.32</v>
      </c>
      <c r="K24" s="220" t="s">
        <v>204</v>
      </c>
      <c r="O24" s="230" t="s">
        <v>11</v>
      </c>
      <c r="R24" s="207"/>
      <c r="S24" s="207"/>
    </row>
    <row r="25" spans="1:20" ht="15.75" thickTop="1">
      <c r="K25" s="189" t="s">
        <v>188</v>
      </c>
      <c r="L25" s="223"/>
      <c r="N25" s="231" t="str">
        <f>TEXT(L14, "0.00%") &amp; " x " &amp; TEXT(H23, "0.00%") &amp; " ="</f>
        <v>70.00% x 25.02% =</v>
      </c>
      <c r="O25" s="232">
        <f>L14*H23</f>
        <v>0.17513999999999996</v>
      </c>
      <c r="R25" s="207"/>
      <c r="S25" s="207"/>
    </row>
    <row r="26" spans="1:20">
      <c r="K26" s="189" t="s">
        <v>189</v>
      </c>
      <c r="L26" s="223"/>
      <c r="N26" s="231" t="str">
        <f>TEXT(K14, "0.00%") &amp; " x " &amp; TEXT(O20, "0.00%") &amp; " ="</f>
        <v>30.00% x 2.95% =</v>
      </c>
      <c r="O26" s="233">
        <f>K14*O20</f>
        <v>8.8637999999999998E-3</v>
      </c>
      <c r="R26" s="207"/>
      <c r="S26" s="207"/>
    </row>
    <row r="27" spans="1:20" ht="15.75" thickBot="1">
      <c r="K27" s="220" t="s">
        <v>272</v>
      </c>
      <c r="L27" s="234"/>
      <c r="O27" s="235">
        <f>MROUND(SUM(O25:O26), 0.005)</f>
        <v>0.185</v>
      </c>
      <c r="R27" s="207"/>
      <c r="S27" s="207"/>
    </row>
    <row r="28" spans="1:20" s="241" customFormat="1" ht="15.75" thickTop="1">
      <c r="A28" s="236"/>
      <c r="B28" s="236"/>
      <c r="C28" s="236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7"/>
      <c r="R28" s="238"/>
      <c r="S28" s="239"/>
      <c r="T28" s="240"/>
    </row>
    <row r="29" spans="1:20" s="241" customFormat="1">
      <c r="A29" s="238" t="s">
        <v>25</v>
      </c>
      <c r="B29" s="238"/>
      <c r="C29" s="238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523"/>
      <c r="R29" s="238"/>
      <c r="S29" s="238"/>
      <c r="T29" s="240"/>
    </row>
    <row r="30" spans="1:20" ht="16.5" customHeight="1">
      <c r="A30" s="275">
        <v>1</v>
      </c>
      <c r="B30" s="238" t="s">
        <v>190</v>
      </c>
      <c r="D30" s="243"/>
      <c r="E30" s="227"/>
      <c r="F30" s="227"/>
      <c r="G30" s="227"/>
      <c r="H30" s="244"/>
      <c r="I30" s="244"/>
    </row>
    <row r="31" spans="1:20" ht="16.5" customHeight="1">
      <c r="A31" s="275">
        <v>2</v>
      </c>
      <c r="B31" s="429" t="s">
        <v>191</v>
      </c>
    </row>
    <row r="32" spans="1:20" ht="16.5" customHeight="1">
      <c r="A32" s="275">
        <v>3</v>
      </c>
      <c r="B32" s="429" t="s">
        <v>281</v>
      </c>
    </row>
    <row r="33" spans="1:2" s="245" customFormat="1" ht="16.5" customHeight="1">
      <c r="A33" s="275">
        <v>4</v>
      </c>
      <c r="B33" s="238" t="s">
        <v>192</v>
      </c>
    </row>
  </sheetData>
  <phoneticPr fontId="11" type="noConversion"/>
  <conditionalFormatting sqref="E8:F10 F4:F7 E3:E7">
    <cfRule type="cellIs" dxfId="3" priority="6" stopIfTrue="1" operator="equal">
      <formula>"NA"</formula>
    </cfRule>
  </conditionalFormatting>
  <conditionalFormatting sqref="G4:G10">
    <cfRule type="cellIs" dxfId="2" priority="5" stopIfTrue="1" operator="equal">
      <formula>"NA"</formula>
    </cfRule>
  </conditionalFormatting>
  <conditionalFormatting sqref="I4:I10">
    <cfRule type="cellIs" dxfId="1" priority="1" stopIfTrue="1" operator="equal">
      <formula>"NA"</formula>
    </cfRule>
  </conditionalFormatting>
  <conditionalFormatting sqref="H4:H10">
    <cfRule type="cellIs" dxfId="0" priority="2" stopIfTrue="1" operator="equal">
      <formula>"NA"</formula>
    </cfRule>
  </conditionalFormatting>
  <printOptions horizontalCentered="1"/>
  <pageMargins left="0.5" right="0.5" top="0.5" bottom="0.5" header="0.3" footer="0.3"/>
  <pageSetup scale="5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pageSetUpPr fitToPage="1"/>
  </sheetPr>
  <dimension ref="A1:U53"/>
  <sheetViews>
    <sheetView showGridLines="0" view="pageBreakPreview" zoomScale="75" zoomScaleNormal="80" zoomScaleSheetLayoutView="75" workbookViewId="0">
      <selection activeCell="B3" sqref="B3"/>
    </sheetView>
  </sheetViews>
  <sheetFormatPr defaultRowHeight="14.25"/>
  <cols>
    <col min="1" max="1" width="3.5" style="39" customWidth="1"/>
    <col min="2" max="2" width="3.125" style="39" customWidth="1"/>
    <col min="3" max="3" width="53.375" style="39" customWidth="1"/>
    <col min="4" max="4" width="2.125" style="39" customWidth="1"/>
    <col min="5" max="5" width="12.25" style="39" customWidth="1"/>
    <col min="6" max="6" width="2.125" style="39" customWidth="1"/>
    <col min="7" max="7" width="15" style="39" customWidth="1"/>
    <col min="8" max="8" width="2.125" style="39" customWidth="1"/>
    <col min="9" max="9" width="15.625" style="39" customWidth="1"/>
    <col min="10" max="10" width="2.125" style="39" customWidth="1"/>
    <col min="11" max="11" width="17.25" style="39" customWidth="1"/>
    <col min="12" max="12" width="3.5" style="39" customWidth="1"/>
    <col min="13" max="13" width="9" style="39"/>
    <col min="14" max="14" width="25" style="39" bestFit="1" customWidth="1"/>
    <col min="15" max="15" width="23.375" style="39" customWidth="1"/>
    <col min="16" max="18" width="9" style="39"/>
    <col min="19" max="19" width="23" style="39" bestFit="1" customWidth="1"/>
    <col min="20" max="20" width="3.125" style="39" customWidth="1"/>
    <col min="21" max="21" width="9.125" style="39" bestFit="1" customWidth="1"/>
    <col min="22" max="16384" width="9" style="39"/>
  </cols>
  <sheetData>
    <row r="1" spans="2:21">
      <c r="L1" s="40"/>
      <c r="M1" s="40"/>
      <c r="N1" s="40"/>
      <c r="O1" s="40"/>
      <c r="P1" s="40"/>
    </row>
    <row r="2" spans="2:21" ht="15">
      <c r="B2" s="38" t="s">
        <v>74</v>
      </c>
      <c r="C2" s="38"/>
    </row>
    <row r="4" spans="2:21" ht="75" customHeight="1">
      <c r="B4" s="584" t="s">
        <v>45</v>
      </c>
      <c r="C4" s="585"/>
      <c r="D4" s="517"/>
      <c r="E4" s="518" t="s">
        <v>11</v>
      </c>
      <c r="F4" s="517"/>
      <c r="G4" s="518" t="s">
        <v>75</v>
      </c>
      <c r="H4" s="518"/>
      <c r="I4" s="518" t="s">
        <v>76</v>
      </c>
      <c r="J4" s="518"/>
      <c r="K4" s="519" t="s">
        <v>115</v>
      </c>
    </row>
    <row r="5" spans="2:21" ht="24.75" customHeight="1">
      <c r="B5" s="520"/>
      <c r="C5" s="520"/>
      <c r="D5" s="521"/>
      <c r="E5" s="522"/>
      <c r="F5" s="521"/>
      <c r="G5" s="522"/>
      <c r="H5" s="522"/>
      <c r="I5" s="522"/>
      <c r="J5" s="522"/>
      <c r="K5" s="522"/>
    </row>
    <row r="6" spans="2:21">
      <c r="B6" s="40" t="s">
        <v>77</v>
      </c>
      <c r="C6" s="40"/>
      <c r="D6" s="41"/>
      <c r="G6" s="42"/>
      <c r="H6" s="42"/>
      <c r="I6" s="43"/>
      <c r="J6" s="42"/>
      <c r="K6" s="42"/>
      <c r="N6" s="44" t="s">
        <v>78</v>
      </c>
    </row>
    <row r="7" spans="2:21">
      <c r="C7" s="40" t="s">
        <v>135</v>
      </c>
      <c r="E7" s="577">
        <f>IRR!U47</f>
        <v>542.5</v>
      </c>
      <c r="G7" s="56">
        <f>(Prime_Rate+N7)*(1-Blended_Tax)</f>
        <v>3.3239250000000005E-2</v>
      </c>
      <c r="H7" s="42"/>
      <c r="I7" s="43">
        <f>E7/$E$20</f>
        <v>9.1324200913242004E-2</v>
      </c>
      <c r="J7" s="42"/>
      <c r="K7" s="43">
        <f>G7*I7</f>
        <v>3.0355479452054798E-3</v>
      </c>
      <c r="N7" s="45">
        <v>0.01</v>
      </c>
    </row>
    <row r="8" spans="2:21">
      <c r="C8" s="40" t="s">
        <v>240</v>
      </c>
      <c r="E8" s="46">
        <f>Summary!F12</f>
        <v>271.25</v>
      </c>
      <c r="G8" s="56">
        <f>(Prime_Rate+N8)*(1-Blended_Tax)</f>
        <v>4.0625750000000009E-2</v>
      </c>
      <c r="H8" s="42"/>
      <c r="I8" s="43">
        <f>E8/$E$20</f>
        <v>4.5662100456621002E-2</v>
      </c>
      <c r="J8" s="42"/>
      <c r="K8" s="43">
        <f>G8*I8</f>
        <v>1.8550570776255711E-3</v>
      </c>
      <c r="N8" s="45">
        <v>0.02</v>
      </c>
    </row>
    <row r="9" spans="2:21">
      <c r="C9" s="40" t="s">
        <v>143</v>
      </c>
      <c r="E9" s="46">
        <f>Summary!F13</f>
        <v>108.5</v>
      </c>
      <c r="G9" s="56">
        <f>(Prime_Rate+N9)*(1-Blended_Tax)</f>
        <v>4.8012250000000006E-2</v>
      </c>
      <c r="H9" s="46"/>
      <c r="I9" s="43">
        <f>E9/$E$20</f>
        <v>1.8264840182648401E-2</v>
      </c>
      <c r="J9" s="46"/>
      <c r="K9" s="43">
        <f>G9*I9</f>
        <v>8.7693607305936079E-4</v>
      </c>
      <c r="N9" s="47">
        <v>0.03</v>
      </c>
      <c r="S9" s="48"/>
      <c r="U9" s="48"/>
    </row>
    <row r="10" spans="2:21" ht="15">
      <c r="C10" s="49" t="s">
        <v>79</v>
      </c>
      <c r="E10" s="50">
        <f>SUM(E7:E9)</f>
        <v>922.25</v>
      </c>
      <c r="G10" s="46"/>
      <c r="H10" s="46"/>
      <c r="I10" s="52">
        <f>E10/$E$20</f>
        <v>0.15525114155251141</v>
      </c>
      <c r="J10" s="46"/>
      <c r="K10" s="52">
        <f>SUM(K7:K9)</f>
        <v>5.7675410958904112E-3</v>
      </c>
      <c r="N10" s="48"/>
      <c r="S10" s="48"/>
      <c r="U10" s="48"/>
    </row>
    <row r="11" spans="2:21">
      <c r="B11" s="40"/>
      <c r="C11" s="40"/>
      <c r="E11" s="46"/>
      <c r="G11" s="51"/>
      <c r="H11" s="46"/>
      <c r="I11" s="43"/>
      <c r="J11" s="46"/>
      <c r="K11" s="43"/>
      <c r="N11" s="53" t="s">
        <v>80</v>
      </c>
    </row>
    <row r="12" spans="2:21">
      <c r="C12" s="40"/>
      <c r="E12" s="46"/>
      <c r="G12" s="51"/>
      <c r="H12" s="46"/>
      <c r="I12" s="43"/>
      <c r="J12" s="46"/>
      <c r="K12" s="43"/>
      <c r="N12" s="54">
        <f>K24</f>
        <v>0.185</v>
      </c>
      <c r="S12" s="55"/>
      <c r="T12" s="56"/>
      <c r="U12" s="57"/>
    </row>
    <row r="13" spans="2:21">
      <c r="B13" s="40" t="s">
        <v>81</v>
      </c>
      <c r="C13" s="40"/>
      <c r="E13" s="46"/>
      <c r="G13" s="51"/>
      <c r="H13" s="46"/>
      <c r="I13" s="43"/>
      <c r="J13" s="46"/>
      <c r="K13" s="43"/>
      <c r="N13" s="58" t="s">
        <v>3</v>
      </c>
      <c r="S13" s="55"/>
      <c r="T13" s="56"/>
      <c r="U13" s="57"/>
    </row>
    <row r="14" spans="2:21">
      <c r="B14" s="40"/>
      <c r="C14" s="40" t="str">
        <f>'Table of Contents'!C5</f>
        <v>Trade Name and Trademarks</v>
      </c>
      <c r="E14" s="578">
        <f>'Trade Name'!H24</f>
        <v>568.20000000000005</v>
      </c>
      <c r="G14" s="56">
        <f t="shared" ref="G14:G16" si="0">$N$12+N14</f>
        <v>0.185</v>
      </c>
      <c r="H14" s="46"/>
      <c r="I14" s="43">
        <f>E14/$E$20</f>
        <v>9.5650527113187306E-2</v>
      </c>
      <c r="J14" s="46"/>
      <c r="K14" s="43">
        <f t="shared" ref="K14:K16" si="1">G14*I14</f>
        <v>1.7695347515939652E-2</v>
      </c>
      <c r="N14" s="59">
        <v>0</v>
      </c>
      <c r="S14" s="60"/>
      <c r="T14" s="56"/>
      <c r="U14" s="57"/>
    </row>
    <row r="15" spans="2:21">
      <c r="B15" s="40"/>
      <c r="C15" s="40" t="str">
        <f>'Table of Contents'!C6</f>
        <v>Technology</v>
      </c>
      <c r="E15" s="578">
        <f>'Technology-RfR'!H23</f>
        <v>176.6</v>
      </c>
      <c r="G15" s="56">
        <f t="shared" si="0"/>
        <v>0.185</v>
      </c>
      <c r="H15" s="46"/>
      <c r="I15" s="43">
        <f>E15/$E$20</f>
        <v>2.9728762914799148E-2</v>
      </c>
      <c r="J15" s="46"/>
      <c r="K15" s="43">
        <f t="shared" si="1"/>
        <v>5.4998211392378428E-3</v>
      </c>
      <c r="N15" s="59">
        <v>0</v>
      </c>
      <c r="S15" s="60"/>
      <c r="T15" s="56"/>
      <c r="U15" s="57"/>
    </row>
    <row r="16" spans="2:21">
      <c r="B16" s="40"/>
      <c r="C16" s="40" t="str">
        <f>'Table of Contents'!C7</f>
        <v>Noncompete Agreement</v>
      </c>
      <c r="E16" s="578">
        <f>Noncompete!I19</f>
        <v>32.4</v>
      </c>
      <c r="F16" s="40"/>
      <c r="G16" s="56">
        <f t="shared" si="0"/>
        <v>0.185</v>
      </c>
      <c r="H16" s="61"/>
      <c r="I16" s="43">
        <f>E16/$E$20</f>
        <v>5.4542011236664353E-3</v>
      </c>
      <c r="J16" s="46"/>
      <c r="K16" s="43">
        <f t="shared" si="1"/>
        <v>1.0090272078782906E-3</v>
      </c>
      <c r="N16" s="59">
        <v>0</v>
      </c>
      <c r="S16" s="60"/>
      <c r="T16" s="56"/>
      <c r="U16" s="57"/>
    </row>
    <row r="17" spans="1:21" ht="15">
      <c r="B17" s="40"/>
      <c r="C17" s="49" t="s">
        <v>82</v>
      </c>
      <c r="D17" s="41"/>
      <c r="E17" s="62">
        <f>SUM(E14:E16)</f>
        <v>777.2</v>
      </c>
      <c r="F17" s="40"/>
      <c r="G17" s="63"/>
      <c r="H17" s="61"/>
      <c r="I17" s="52">
        <f>E17/$E$20</f>
        <v>0.13083349115165288</v>
      </c>
      <c r="J17" s="61"/>
      <c r="K17" s="52">
        <f>SUM(K14:K16)</f>
        <v>2.4204195863055784E-2</v>
      </c>
      <c r="N17" s="64"/>
      <c r="S17" s="60"/>
      <c r="T17" s="56"/>
      <c r="U17" s="57"/>
    </row>
    <row r="18" spans="1:21">
      <c r="J18" s="46"/>
      <c r="K18" s="46"/>
      <c r="N18" s="40"/>
      <c r="S18" s="60"/>
      <c r="T18" s="56"/>
      <c r="U18" s="57"/>
    </row>
    <row r="19" spans="1:21">
      <c r="B19" s="39" t="s">
        <v>138</v>
      </c>
      <c r="C19" s="41"/>
      <c r="D19" s="41"/>
      <c r="E19" s="592">
        <f>Summary!F22</f>
        <v>4240.9250000000002</v>
      </c>
      <c r="G19" s="56">
        <v>0.22</v>
      </c>
      <c r="H19" s="46"/>
      <c r="I19" s="43">
        <f>E19/$E$20</f>
        <v>0.71391536729583571</v>
      </c>
      <c r="J19" s="46"/>
      <c r="K19" s="43">
        <f>G19*I19</f>
        <v>0.15706138080508386</v>
      </c>
      <c r="S19" s="60"/>
      <c r="T19" s="56"/>
      <c r="U19" s="57"/>
    </row>
    <row r="20" spans="1:21" ht="15">
      <c r="C20" s="65" t="s">
        <v>40</v>
      </c>
      <c r="E20" s="46">
        <f>+E10+E17+E19</f>
        <v>5940.375</v>
      </c>
      <c r="G20" s="56"/>
      <c r="H20" s="46"/>
      <c r="I20" s="52">
        <f>I10+I17+I19</f>
        <v>1</v>
      </c>
      <c r="J20" s="46"/>
      <c r="K20" s="52">
        <f>K10+K17+K19-0.001</f>
        <v>0.18603311776403006</v>
      </c>
      <c r="S20" s="60"/>
      <c r="T20" s="56"/>
      <c r="U20" s="57"/>
    </row>
    <row r="21" spans="1:21" ht="15">
      <c r="C21" s="65"/>
      <c r="G21" s="56"/>
      <c r="H21" s="46"/>
      <c r="I21" s="66"/>
      <c r="J21" s="67"/>
      <c r="K21" s="66"/>
      <c r="S21" s="60"/>
      <c r="T21" s="56"/>
      <c r="U21" s="57"/>
    </row>
    <row r="22" spans="1:21" ht="15">
      <c r="B22" s="39" t="s">
        <v>198</v>
      </c>
      <c r="D22" s="41"/>
      <c r="E22" s="579">
        <f>+IRR!N42</f>
        <v>-515.375</v>
      </c>
      <c r="G22" s="46"/>
      <c r="H22" s="46"/>
      <c r="I22" s="68" t="s">
        <v>115</v>
      </c>
      <c r="J22" s="69"/>
      <c r="K22" s="70">
        <f>K20</f>
        <v>0.18603311776403006</v>
      </c>
      <c r="S22" s="60"/>
      <c r="T22" s="56"/>
      <c r="U22" s="57"/>
    </row>
    <row r="23" spans="1:21" ht="15.75" thickBot="1">
      <c r="C23" s="65" t="s">
        <v>197</v>
      </c>
      <c r="D23" s="38"/>
      <c r="E23" s="71">
        <f>E10+E17+E22+E19</f>
        <v>5425</v>
      </c>
      <c r="F23" s="38"/>
      <c r="G23" s="67"/>
      <c r="H23" s="67"/>
      <c r="I23" s="68" t="s">
        <v>84</v>
      </c>
      <c r="J23" s="69"/>
      <c r="K23" s="70">
        <f>IRR!N48</f>
        <v>0.17727664587</v>
      </c>
      <c r="S23" s="60"/>
      <c r="T23" s="56"/>
      <c r="U23" s="57"/>
    </row>
    <row r="24" spans="1:21" ht="15.75" thickTop="1">
      <c r="G24" s="46"/>
      <c r="H24" s="46"/>
      <c r="I24" s="68" t="s">
        <v>47</v>
      </c>
      <c r="J24" s="69"/>
      <c r="K24" s="70">
        <f>WACC!O27</f>
        <v>0.185</v>
      </c>
      <c r="S24" s="60"/>
      <c r="T24" s="56"/>
      <c r="U24" s="57"/>
    </row>
    <row r="25" spans="1:21" s="40" customFormat="1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</row>
    <row r="26" spans="1:21" s="72" customFormat="1">
      <c r="G26" s="73"/>
      <c r="H26" s="73"/>
      <c r="I26" s="74"/>
      <c r="J26" s="74"/>
      <c r="K26" s="74"/>
      <c r="O26" s="75"/>
      <c r="P26" s="75"/>
      <c r="U26" s="35"/>
    </row>
    <row r="27" spans="1:21" s="72" customFormat="1" ht="15">
      <c r="A27" s="76"/>
      <c r="G27" s="77"/>
      <c r="H27" s="77"/>
      <c r="N27" s="78" t="s">
        <v>69</v>
      </c>
      <c r="O27" s="79"/>
      <c r="P27" s="75"/>
      <c r="U27" s="35"/>
    </row>
    <row r="28" spans="1:21">
      <c r="A28" s="80"/>
      <c r="N28" s="81"/>
      <c r="O28" s="82"/>
      <c r="P28" s="83"/>
      <c r="U28" s="33"/>
    </row>
    <row r="29" spans="1:21">
      <c r="G29" s="84"/>
      <c r="H29" s="84"/>
      <c r="I29" s="85"/>
      <c r="J29" s="85"/>
      <c r="N29" s="81" t="s">
        <v>58</v>
      </c>
      <c r="O29" s="86">
        <f>IRR!G35</f>
        <v>0.17727664587</v>
      </c>
    </row>
    <row r="30" spans="1:21" ht="15">
      <c r="I30" s="49"/>
      <c r="K30" s="66"/>
      <c r="N30" s="81" t="s">
        <v>34</v>
      </c>
      <c r="O30" s="86">
        <f>IRR!G25</f>
        <v>0.26134999999999997</v>
      </c>
    </row>
    <row r="31" spans="1:21">
      <c r="N31" s="81" t="s">
        <v>70</v>
      </c>
      <c r="O31" s="86">
        <f>IRR!W7</f>
        <v>0.03</v>
      </c>
    </row>
    <row r="32" spans="1:21">
      <c r="N32" s="87" t="s">
        <v>103</v>
      </c>
      <c r="O32" s="88">
        <v>0.03</v>
      </c>
    </row>
    <row r="33" spans="2:21">
      <c r="B33" s="40"/>
      <c r="N33" s="32"/>
      <c r="O33" s="32"/>
      <c r="S33" s="60"/>
      <c r="T33" s="56"/>
      <c r="U33" s="57"/>
    </row>
    <row r="34" spans="2:21">
      <c r="N34" s="89" t="s">
        <v>91</v>
      </c>
      <c r="O34" s="90"/>
    </row>
    <row r="35" spans="2:21">
      <c r="B35" s="40"/>
      <c r="D35" s="41"/>
      <c r="E35" s="46"/>
      <c r="G35" s="56"/>
      <c r="H35" s="46"/>
      <c r="I35" s="43"/>
      <c r="J35" s="46"/>
      <c r="K35" s="43"/>
      <c r="N35" s="91"/>
      <c r="O35" s="92"/>
      <c r="S35" s="60"/>
      <c r="T35" s="56"/>
      <c r="U35" s="57"/>
    </row>
    <row r="36" spans="2:21">
      <c r="N36" s="93" t="s">
        <v>71</v>
      </c>
      <c r="O36" s="94">
        <f>Summary!F22+SUM(E14:E16)</f>
        <v>5018.125</v>
      </c>
    </row>
    <row r="37" spans="2:21">
      <c r="N37" s="93" t="s">
        <v>72</v>
      </c>
      <c r="O37" s="94">
        <v>15</v>
      </c>
    </row>
    <row r="38" spans="2:21">
      <c r="N38" s="93" t="s">
        <v>58</v>
      </c>
      <c r="O38" s="86">
        <f>O29</f>
        <v>0.17727664587</v>
      </c>
    </row>
    <row r="39" spans="2:21">
      <c r="N39" s="93" t="s">
        <v>34</v>
      </c>
      <c r="O39" s="95">
        <f>O30</f>
        <v>0.26134999999999997</v>
      </c>
    </row>
    <row r="40" spans="2:21">
      <c r="N40" s="96" t="s">
        <v>91</v>
      </c>
      <c r="O40" s="97">
        <f>O36*(O37/(O37-((PV(O38,O37,-1)*(1+O38)^0.5)*O39))-1)</f>
        <v>541.62840752561669</v>
      </c>
    </row>
    <row r="45" spans="2:21">
      <c r="N45" s="32"/>
      <c r="O45" s="32"/>
    </row>
    <row r="46" spans="2:21">
      <c r="N46" s="98"/>
      <c r="O46" s="99"/>
    </row>
    <row r="47" spans="2:21">
      <c r="N47" s="99"/>
      <c r="O47" s="100"/>
    </row>
    <row r="48" spans="2:21">
      <c r="N48" s="101"/>
      <c r="O48" s="102"/>
    </row>
    <row r="49" spans="14:15">
      <c r="N49" s="103"/>
      <c r="O49" s="102"/>
    </row>
    <row r="50" spans="14:15">
      <c r="N50" s="103"/>
      <c r="O50" s="104"/>
    </row>
    <row r="51" spans="14:15">
      <c r="N51" s="103"/>
      <c r="O51" s="105"/>
    </row>
    <row r="52" spans="14:15">
      <c r="N52" s="98"/>
      <c r="O52" s="106"/>
    </row>
    <row r="53" spans="14:15">
      <c r="N53" s="40"/>
      <c r="O53" s="40"/>
    </row>
  </sheetData>
  <mergeCells count="1">
    <mergeCell ref="B4:C4"/>
  </mergeCells>
  <printOptions horizontalCentered="1"/>
  <pageMargins left="0.5" right="0.5" top="0.5" bottom="0.5" header="0.3" footer="0.3"/>
  <pageSetup scale="98" orientation="landscape" r:id="rId1"/>
  <colBreaks count="1" manualBreakCount="1">
    <brk id="11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24"/>
  <sheetViews>
    <sheetView showGridLines="0" view="pageBreakPreview" zoomScale="86" zoomScaleNormal="80" zoomScaleSheetLayoutView="86" workbookViewId="0">
      <selection activeCell="K18" sqref="K18"/>
    </sheetView>
  </sheetViews>
  <sheetFormatPr defaultRowHeight="16.5" customHeight="1"/>
  <cols>
    <col min="1" max="1" width="3.5" style="189" customWidth="1"/>
    <col min="2" max="2" width="2.5" style="189" customWidth="1"/>
    <col min="3" max="3" width="3.125" style="189" customWidth="1"/>
    <col min="4" max="5" width="9" style="189"/>
    <col min="6" max="6" width="18.625" style="189" customWidth="1"/>
    <col min="7" max="9" width="13" style="189" customWidth="1"/>
    <col min="10" max="10" width="2" style="189" customWidth="1"/>
    <col min="11" max="11" width="13" style="189" customWidth="1"/>
    <col min="12" max="12" width="5" style="189" customWidth="1"/>
    <col min="13" max="13" width="1.125" style="189" customWidth="1"/>
    <col min="14" max="16384" width="9" style="189"/>
  </cols>
  <sheetData>
    <row r="1" spans="2:15" ht="16.5" customHeight="1">
      <c r="B1" s="392"/>
    </row>
    <row r="2" spans="2:15" ht="16.5" customHeight="1">
      <c r="G2" s="586" t="s">
        <v>259</v>
      </c>
      <c r="H2" s="587"/>
      <c r="I2" s="588"/>
      <c r="J2" s="449"/>
      <c r="K2" s="450" t="s">
        <v>260</v>
      </c>
      <c r="L2" s="278"/>
    </row>
    <row r="3" spans="2:15" ht="16.5" customHeight="1">
      <c r="G3" s="393">
        <f>EDATE(H3,-12)</f>
        <v>43100</v>
      </c>
      <c r="H3" s="394">
        <f>EDATE(I3,-12)</f>
        <v>43465</v>
      </c>
      <c r="I3" s="395">
        <v>43830</v>
      </c>
      <c r="J3" s="396"/>
      <c r="K3" s="397">
        <v>43921</v>
      </c>
      <c r="L3" s="396"/>
    </row>
    <row r="4" spans="2:15" ht="16.5" customHeight="1">
      <c r="G4" s="278"/>
      <c r="H4" s="278"/>
      <c r="I4" s="278"/>
      <c r="J4" s="278"/>
      <c r="L4" s="278"/>
    </row>
    <row r="5" spans="2:15" ht="16.5" customHeight="1">
      <c r="B5" s="189" t="s">
        <v>38</v>
      </c>
      <c r="G5" s="372">
        <v>5425</v>
      </c>
      <c r="H5" s="372">
        <v>5425</v>
      </c>
      <c r="I5" s="372">
        <v>5425</v>
      </c>
      <c r="J5" s="398"/>
      <c r="K5" s="372">
        <v>5425</v>
      </c>
      <c r="M5" s="276"/>
      <c r="N5" s="276"/>
      <c r="O5" s="276"/>
    </row>
    <row r="6" spans="2:15" s="263" customFormat="1" ht="16.5" customHeight="1">
      <c r="C6" s="263" t="s">
        <v>261</v>
      </c>
      <c r="G6" s="399" t="s">
        <v>262</v>
      </c>
      <c r="H6" s="400">
        <f>H5/G5-1</f>
        <v>0</v>
      </c>
      <c r="I6" s="400">
        <f>I5/G5-1</f>
        <v>0</v>
      </c>
      <c r="J6" s="400"/>
      <c r="K6" s="399" t="s">
        <v>262</v>
      </c>
      <c r="L6" s="401"/>
    </row>
    <row r="7" spans="2:15" ht="16.5" customHeight="1">
      <c r="B7" s="189" t="s">
        <v>263</v>
      </c>
      <c r="G7" s="276">
        <f>5*5.425</f>
        <v>27.125</v>
      </c>
      <c r="H7" s="276">
        <f>5*5.425</f>
        <v>27.125</v>
      </c>
      <c r="I7" s="276">
        <f>5*5.425</f>
        <v>27.125</v>
      </c>
      <c r="J7" s="277"/>
      <c r="K7" s="276">
        <f>5*5.425</f>
        <v>27.125</v>
      </c>
      <c r="L7" s="276"/>
      <c r="M7" s="276"/>
    </row>
    <row r="8" spans="2:15" ht="16.5" customHeight="1">
      <c r="B8" s="189" t="s">
        <v>2</v>
      </c>
      <c r="G8" s="280">
        <f>G5-G7</f>
        <v>5397.875</v>
      </c>
      <c r="H8" s="280">
        <f>H5-H7</f>
        <v>5397.875</v>
      </c>
      <c r="I8" s="280">
        <f>I5-I7</f>
        <v>5397.875</v>
      </c>
      <c r="J8" s="276"/>
      <c r="K8" s="280">
        <f>K5-K7</f>
        <v>5397.875</v>
      </c>
      <c r="L8" s="276"/>
      <c r="M8" s="276"/>
    </row>
    <row r="9" spans="2:15" ht="16.5" customHeight="1">
      <c r="G9" s="372"/>
      <c r="H9" s="372"/>
      <c r="I9" s="372"/>
      <c r="J9" s="372"/>
      <c r="K9" s="372"/>
      <c r="L9" s="372"/>
    </row>
    <row r="10" spans="2:15" ht="16.5" customHeight="1">
      <c r="B10" s="589" t="s">
        <v>62</v>
      </c>
      <c r="C10" s="589"/>
      <c r="D10" s="589"/>
      <c r="E10" s="589"/>
      <c r="G10" s="276">
        <f>5*5.425</f>
        <v>27.125</v>
      </c>
      <c r="H10" s="276">
        <f>5*5.425</f>
        <v>27.125</v>
      </c>
      <c r="I10" s="276">
        <f>5*5.425</f>
        <v>27.125</v>
      </c>
      <c r="J10" s="276">
        <f>5*5.425</f>
        <v>27.125</v>
      </c>
      <c r="K10" s="276">
        <v>5</v>
      </c>
      <c r="L10" s="276"/>
    </row>
    <row r="11" spans="2:15" ht="16.5" customHeight="1">
      <c r="B11" s="189" t="s">
        <v>12</v>
      </c>
      <c r="G11" s="280">
        <f>G8-G10</f>
        <v>5370.75</v>
      </c>
      <c r="H11" s="280">
        <f>H8-H10</f>
        <v>5370.75</v>
      </c>
      <c r="I11" s="280">
        <f>I8-I10</f>
        <v>5370.75</v>
      </c>
      <c r="J11" s="276"/>
      <c r="K11" s="280">
        <f>K8-K10</f>
        <v>5392.875</v>
      </c>
      <c r="L11" s="276"/>
      <c r="M11" s="276"/>
    </row>
    <row r="12" spans="2:15" ht="16.5" customHeight="1">
      <c r="G12" s="276"/>
      <c r="H12" s="276"/>
      <c r="I12" s="276"/>
      <c r="J12" s="276"/>
      <c r="K12" s="276"/>
      <c r="L12" s="276"/>
    </row>
    <row r="13" spans="2:15" ht="16.5" customHeight="1">
      <c r="B13" s="189" t="s">
        <v>264</v>
      </c>
      <c r="G13" s="374">
        <v>5.4249999999999998</v>
      </c>
      <c r="H13" s="374">
        <v>5.4249999999999998</v>
      </c>
      <c r="I13" s="374">
        <v>5.4249999999999998</v>
      </c>
      <c r="J13" s="374">
        <v>5.4249999999999998</v>
      </c>
      <c r="K13" s="374">
        <v>1</v>
      </c>
      <c r="L13" s="276"/>
    </row>
    <row r="14" spans="2:15" ht="16.5" customHeight="1">
      <c r="B14" s="189" t="s">
        <v>265</v>
      </c>
      <c r="G14" s="276">
        <f>SUM(G11:G13)</f>
        <v>5376.1750000000002</v>
      </c>
      <c r="H14" s="276">
        <f>SUM(H11:H13)</f>
        <v>5376.1750000000002</v>
      </c>
      <c r="I14" s="276">
        <f>SUM(I11:I13)</f>
        <v>5376.1750000000002</v>
      </c>
      <c r="J14" s="276"/>
      <c r="K14" s="276">
        <f>SUM(K11:K13)</f>
        <v>5393.875</v>
      </c>
      <c r="L14" s="276"/>
    </row>
    <row r="15" spans="2:15" ht="16.5" customHeight="1">
      <c r="G15" s="276"/>
      <c r="H15" s="276"/>
      <c r="I15" s="276"/>
      <c r="J15" s="276"/>
      <c r="K15" s="276"/>
      <c r="L15" s="276"/>
    </row>
    <row r="16" spans="2:15" ht="16.5" customHeight="1">
      <c r="B16" s="189" t="s">
        <v>266</v>
      </c>
      <c r="G16" s="276">
        <f>G11</f>
        <v>5370.75</v>
      </c>
      <c r="H16" s="276">
        <f>H11</f>
        <v>5370.75</v>
      </c>
      <c r="I16" s="276">
        <f>I11</f>
        <v>5370.75</v>
      </c>
      <c r="J16" s="276"/>
      <c r="K16" s="276">
        <f>K11</f>
        <v>5392.875</v>
      </c>
      <c r="L16" s="276"/>
    </row>
    <row r="17" spans="1:12" ht="16.5" customHeight="1">
      <c r="G17" s="276"/>
      <c r="H17" s="276"/>
      <c r="I17" s="276"/>
      <c r="J17" s="276"/>
      <c r="K17" s="276"/>
      <c r="L17" s="276"/>
    </row>
    <row r="18" spans="1:12" ht="16.5" customHeight="1">
      <c r="B18" s="189" t="s">
        <v>15</v>
      </c>
      <c r="G18" s="276">
        <v>27.125</v>
      </c>
      <c r="H18" s="276">
        <v>27.125</v>
      </c>
      <c r="I18" s="276">
        <v>27.125</v>
      </c>
      <c r="J18" s="277"/>
      <c r="K18" s="276">
        <v>27.125</v>
      </c>
      <c r="L18" s="276"/>
    </row>
    <row r="19" spans="1:12" ht="16.5" customHeight="1">
      <c r="A19" s="315"/>
      <c r="B19" s="315"/>
      <c r="C19" s="315"/>
      <c r="D19" s="315"/>
      <c r="E19" s="315"/>
      <c r="F19" s="315"/>
      <c r="G19" s="315"/>
      <c r="H19" s="315"/>
      <c r="I19" s="315"/>
      <c r="J19" s="315"/>
      <c r="K19" s="315"/>
      <c r="L19" s="315"/>
    </row>
    <row r="20" spans="1:12" ht="16.5" customHeight="1">
      <c r="A20" s="189" t="s">
        <v>129</v>
      </c>
    </row>
    <row r="21" spans="1:12" ht="16.5" customHeight="1">
      <c r="A21" s="407">
        <v>1</v>
      </c>
      <c r="B21" s="328" t="s">
        <v>267</v>
      </c>
      <c r="C21" s="408"/>
      <c r="D21" s="408"/>
      <c r="E21" s="408"/>
      <c r="F21" s="408"/>
      <c r="G21" s="408"/>
      <c r="H21" s="408"/>
      <c r="I21" s="408"/>
      <c r="J21" s="408"/>
      <c r="K21" s="408"/>
      <c r="L21" s="408"/>
    </row>
    <row r="22" spans="1:12" ht="16.5" customHeight="1">
      <c r="A22" s="275"/>
      <c r="G22" s="372"/>
      <c r="H22" s="372"/>
    </row>
    <row r="23" spans="1:12" ht="16.5" customHeight="1">
      <c r="G23" s="372"/>
      <c r="H23" s="372"/>
    </row>
    <row r="24" spans="1:12" ht="16.5" customHeight="1">
      <c r="G24" s="372"/>
      <c r="H24" s="372"/>
    </row>
  </sheetData>
  <mergeCells count="2">
    <mergeCell ref="G2:I2"/>
    <mergeCell ref="B10:E10"/>
  </mergeCells>
  <printOptions horizontalCentered="1"/>
  <pageMargins left="0.5" right="0.5" top="0.5" bottom="0.5" header="0.3" footer="0.3"/>
  <pageSetup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59"/>
  <sheetViews>
    <sheetView showGridLines="0" view="pageBreakPreview" topLeftCell="A27" zoomScale="75" zoomScaleNormal="100" zoomScaleSheetLayoutView="75" workbookViewId="0">
      <selection activeCell="A27" sqref="A27"/>
    </sheetView>
  </sheetViews>
  <sheetFormatPr defaultRowHeight="16.5" customHeight="1"/>
  <cols>
    <col min="1" max="1" width="3.5" style="189" customWidth="1"/>
    <col min="2" max="2" width="2.5" style="189" customWidth="1"/>
    <col min="3" max="3" width="3.125" style="189" customWidth="1"/>
    <col min="4" max="5" width="9" style="189"/>
    <col min="6" max="6" width="23.75" style="189" customWidth="1"/>
    <col min="7" max="7" width="5.75" style="189" customWidth="1"/>
    <col min="8" max="11" width="15.625" style="189" customWidth="1"/>
    <col min="12" max="12" width="3.5" style="189" customWidth="1"/>
    <col min="13" max="13" width="13.25" style="189" bestFit="1" customWidth="1"/>
    <col min="14" max="16384" width="9" style="189"/>
  </cols>
  <sheetData>
    <row r="1" spans="2:12" ht="16.5" customHeight="1">
      <c r="B1" s="392"/>
    </row>
    <row r="2" spans="2:12" ht="16.5" customHeight="1">
      <c r="H2" s="443" t="s">
        <v>233</v>
      </c>
      <c r="I2" s="444"/>
      <c r="J2" s="445"/>
      <c r="K2" s="445"/>
    </row>
    <row r="3" spans="2:12" ht="16.5" customHeight="1">
      <c r="H3" s="393">
        <f>EDATE(I3,-12)</f>
        <v>43100</v>
      </c>
      <c r="I3" s="394">
        <f>EDATE(J3,-12)</f>
        <v>43465</v>
      </c>
      <c r="J3" s="394">
        <v>43830</v>
      </c>
      <c r="K3" s="395">
        <f>Val_Date</f>
        <v>43921</v>
      </c>
      <c r="L3" s="220"/>
    </row>
    <row r="4" spans="2:12" ht="16.5" customHeight="1">
      <c r="B4" s="189" t="s">
        <v>234</v>
      </c>
      <c r="H4" s="372"/>
      <c r="I4" s="406"/>
      <c r="J4" s="406"/>
      <c r="K4" s="406"/>
      <c r="L4" s="402"/>
    </row>
    <row r="5" spans="2:12" ht="16.5" customHeight="1">
      <c r="C5" s="189" t="s">
        <v>235</v>
      </c>
      <c r="D5" s="282"/>
      <c r="E5" s="282"/>
      <c r="F5" s="282"/>
      <c r="G5" s="282"/>
      <c r="H5" s="372">
        <f>20*Summary!F6/1000</f>
        <v>108.5</v>
      </c>
      <c r="I5" s="372">
        <f>H5</f>
        <v>108.5</v>
      </c>
      <c r="J5" s="372">
        <f t="shared" ref="J5:K5" si="0">I5</f>
        <v>108.5</v>
      </c>
      <c r="K5" s="372">
        <f t="shared" si="0"/>
        <v>108.5</v>
      </c>
    </row>
    <row r="6" spans="2:12" ht="16.5" customHeight="1">
      <c r="C6" s="189" t="s">
        <v>236</v>
      </c>
      <c r="D6" s="282"/>
      <c r="E6" s="282"/>
      <c r="F6" s="282"/>
      <c r="G6" s="282"/>
      <c r="H6" s="276">
        <f>H5/4</f>
        <v>27.125</v>
      </c>
      <c r="I6" s="276">
        <f t="shared" ref="I6:K6" si="1">I5/4</f>
        <v>27.125</v>
      </c>
      <c r="J6" s="276">
        <f t="shared" si="1"/>
        <v>27.125</v>
      </c>
      <c r="K6" s="276">
        <f t="shared" si="1"/>
        <v>27.125</v>
      </c>
    </row>
    <row r="7" spans="2:12" ht="16.5" customHeight="1">
      <c r="C7" s="189" t="s">
        <v>237</v>
      </c>
      <c r="D7" s="282"/>
      <c r="E7" s="282"/>
      <c r="F7" s="282"/>
      <c r="G7" s="282"/>
      <c r="H7" s="276">
        <f>H5/4</f>
        <v>27.125</v>
      </c>
      <c r="I7" s="276">
        <f t="shared" ref="I7:K7" si="2">I5/4</f>
        <v>27.125</v>
      </c>
      <c r="J7" s="276">
        <f t="shared" si="2"/>
        <v>27.125</v>
      </c>
      <c r="K7" s="276">
        <f t="shared" si="2"/>
        <v>27.125</v>
      </c>
    </row>
    <row r="8" spans="2:12" ht="16.5" customHeight="1">
      <c r="D8" s="189" t="s">
        <v>238</v>
      </c>
      <c r="E8" s="220"/>
      <c r="H8" s="280">
        <f>SUM(H5:H7)</f>
        <v>162.75</v>
      </c>
      <c r="I8" s="280">
        <f>SUM(I5:I7)</f>
        <v>162.75</v>
      </c>
      <c r="J8" s="280">
        <f>SUM(J5:J7)</f>
        <v>162.75</v>
      </c>
      <c r="K8" s="280">
        <f>SUM(K5:K7)</f>
        <v>162.75</v>
      </c>
    </row>
    <row r="9" spans="2:12" ht="16.5" customHeight="1">
      <c r="B9" s="189" t="s">
        <v>239</v>
      </c>
    </row>
    <row r="10" spans="2:12" ht="16.5" customHeight="1">
      <c r="C10" s="189" t="s">
        <v>240</v>
      </c>
      <c r="H10" s="276">
        <f>H5*2.5</f>
        <v>271.25</v>
      </c>
      <c r="I10" s="276">
        <f t="shared" ref="I10:K10" si="3">I5*2.5</f>
        <v>271.25</v>
      </c>
      <c r="J10" s="276">
        <f t="shared" si="3"/>
        <v>271.25</v>
      </c>
      <c r="K10" s="276">
        <f t="shared" si="3"/>
        <v>271.25</v>
      </c>
    </row>
    <row r="11" spans="2:12" ht="16.5" customHeight="1">
      <c r="C11" s="189" t="s">
        <v>241</v>
      </c>
      <c r="H11" s="276">
        <f>H5</f>
        <v>108.5</v>
      </c>
      <c r="I11" s="276">
        <f t="shared" ref="I11:K11" si="4">I5</f>
        <v>108.5</v>
      </c>
      <c r="J11" s="276">
        <f t="shared" si="4"/>
        <v>108.5</v>
      </c>
      <c r="K11" s="276">
        <f t="shared" si="4"/>
        <v>108.5</v>
      </c>
    </row>
    <row r="12" spans="2:12" ht="16.5" customHeight="1">
      <c r="C12" s="189" t="s">
        <v>242</v>
      </c>
      <c r="H12" s="276">
        <v>0</v>
      </c>
      <c r="I12" s="276">
        <v>0</v>
      </c>
      <c r="J12" s="276">
        <v>0</v>
      </c>
      <c r="K12" s="276">
        <v>0</v>
      </c>
    </row>
    <row r="13" spans="2:12" ht="16.5" customHeight="1">
      <c r="D13" s="189" t="s">
        <v>243</v>
      </c>
      <c r="E13" s="220"/>
      <c r="H13" s="280">
        <f>SUM(H10:H12)</f>
        <v>379.75</v>
      </c>
      <c r="I13" s="280">
        <f>SUM(I10:I12)</f>
        <v>379.75</v>
      </c>
      <c r="J13" s="280">
        <f>SUM(J10:J12)</f>
        <v>379.75</v>
      </c>
      <c r="K13" s="280">
        <f>SUM(K10:K12)</f>
        <v>379.75</v>
      </c>
    </row>
    <row r="14" spans="2:12" ht="16.5" customHeight="1" thickBot="1">
      <c r="D14" s="189" t="s">
        <v>40</v>
      </c>
      <c r="E14" s="220"/>
      <c r="H14" s="403">
        <f>SUM(H13, H8)</f>
        <v>542.5</v>
      </c>
      <c r="I14" s="403">
        <f>SUM(I13, I8)</f>
        <v>542.5</v>
      </c>
      <c r="J14" s="403">
        <f>SUM(J13, J8)</f>
        <v>542.5</v>
      </c>
      <c r="K14" s="403">
        <f>SUM(K13, K8)</f>
        <v>542.5</v>
      </c>
    </row>
    <row r="15" spans="2:12" ht="16.5" customHeight="1" thickTop="1">
      <c r="H15" s="276"/>
      <c r="I15" s="276"/>
      <c r="J15" s="276"/>
      <c r="K15" s="276"/>
    </row>
    <row r="16" spans="2:12" ht="16.5" customHeight="1">
      <c r="B16" s="189" t="s">
        <v>244</v>
      </c>
      <c r="H16" s="276"/>
      <c r="I16" s="276"/>
      <c r="J16" s="276"/>
      <c r="K16" s="276"/>
    </row>
    <row r="17" spans="2:13" ht="16.5" customHeight="1">
      <c r="C17" s="189" t="s">
        <v>245</v>
      </c>
      <c r="H17" s="372">
        <v>0</v>
      </c>
      <c r="I17" s="372">
        <v>0</v>
      </c>
      <c r="J17" s="372">
        <v>0</v>
      </c>
      <c r="K17" s="372">
        <v>0</v>
      </c>
      <c r="M17" s="276"/>
    </row>
    <row r="18" spans="2:13" ht="16.5" customHeight="1">
      <c r="C18" s="189" t="s">
        <v>246</v>
      </c>
      <c r="H18" s="276">
        <f>H6</f>
        <v>27.125</v>
      </c>
      <c r="I18" s="276">
        <f t="shared" ref="I18:K18" si="5">I6</f>
        <v>27.125</v>
      </c>
      <c r="J18" s="276">
        <f t="shared" si="5"/>
        <v>27.125</v>
      </c>
      <c r="K18" s="276">
        <f t="shared" si="5"/>
        <v>27.125</v>
      </c>
      <c r="M18" s="276"/>
    </row>
    <row r="19" spans="2:13" ht="16.5" customHeight="1">
      <c r="C19" s="189" t="s">
        <v>278</v>
      </c>
      <c r="H19" s="276">
        <v>0</v>
      </c>
      <c r="I19" s="276">
        <v>0</v>
      </c>
      <c r="J19" s="276">
        <v>0</v>
      </c>
      <c r="K19" s="276">
        <v>0</v>
      </c>
      <c r="M19" s="276"/>
    </row>
    <row r="20" spans="2:13" ht="16.5" customHeight="1">
      <c r="D20" s="189" t="s">
        <v>247</v>
      </c>
      <c r="E20" s="220"/>
      <c r="H20" s="280">
        <f>SUM(H17:H19)</f>
        <v>27.125</v>
      </c>
      <c r="I20" s="280">
        <f>SUM(I17:I19)</f>
        <v>27.125</v>
      </c>
      <c r="J20" s="280">
        <f>SUM(J17:J19)</f>
        <v>27.125</v>
      </c>
      <c r="K20" s="280">
        <f>SUM(K17:K19)</f>
        <v>27.125</v>
      </c>
      <c r="M20" s="276"/>
    </row>
    <row r="21" spans="2:13" ht="16.5" customHeight="1">
      <c r="B21" s="189" t="s">
        <v>248</v>
      </c>
    </row>
    <row r="22" spans="2:13" ht="16.5" customHeight="1">
      <c r="D22" s="189" t="s">
        <v>249</v>
      </c>
      <c r="H22" s="276">
        <f>H5</f>
        <v>108.5</v>
      </c>
      <c r="I22" s="276">
        <f t="shared" ref="I22:L22" si="6">I5</f>
        <v>108.5</v>
      </c>
      <c r="J22" s="276">
        <f t="shared" si="6"/>
        <v>108.5</v>
      </c>
      <c r="K22" s="276">
        <f t="shared" si="6"/>
        <v>108.5</v>
      </c>
      <c r="L22" s="276">
        <f t="shared" si="6"/>
        <v>0</v>
      </c>
    </row>
    <row r="23" spans="2:13" ht="16.5" customHeight="1">
      <c r="D23" s="189" t="s">
        <v>250</v>
      </c>
      <c r="H23" s="276">
        <v>0</v>
      </c>
      <c r="I23" s="276">
        <v>0</v>
      </c>
      <c r="J23" s="276">
        <v>0</v>
      </c>
      <c r="K23" s="276">
        <v>0</v>
      </c>
    </row>
    <row r="24" spans="2:13" ht="16.5" customHeight="1">
      <c r="D24" s="189" t="s">
        <v>251</v>
      </c>
      <c r="E24" s="220"/>
      <c r="H24" s="280">
        <f>SUM(H21:H23)</f>
        <v>108.5</v>
      </c>
      <c r="I24" s="280">
        <f>SUM(I21:I23)</f>
        <v>108.5</v>
      </c>
      <c r="J24" s="280">
        <f>SUM(J21:J23)</f>
        <v>108.5</v>
      </c>
      <c r="K24" s="280">
        <f>SUM(K21:K23)</f>
        <v>108.5</v>
      </c>
    </row>
    <row r="25" spans="2:13" ht="16.5" customHeight="1">
      <c r="D25" s="189" t="s">
        <v>252</v>
      </c>
      <c r="E25" s="220"/>
      <c r="H25" s="280">
        <f>H20+H24</f>
        <v>135.625</v>
      </c>
      <c r="I25" s="280">
        <f>I20+I24</f>
        <v>135.625</v>
      </c>
      <c r="J25" s="280">
        <f>J20+J24</f>
        <v>135.625</v>
      </c>
      <c r="K25" s="280">
        <f>K20+K24</f>
        <v>135.625</v>
      </c>
    </row>
    <row r="26" spans="2:13" ht="16.5" customHeight="1">
      <c r="D26" s="189" t="s">
        <v>253</v>
      </c>
      <c r="E26" s="220"/>
      <c r="H26" s="276">
        <f>H5/20*75</f>
        <v>406.875</v>
      </c>
      <c r="I26" s="276">
        <f t="shared" ref="I26:K26" si="7">I5/20*75</f>
        <v>406.875</v>
      </c>
      <c r="J26" s="276">
        <f t="shared" si="7"/>
        <v>406.875</v>
      </c>
      <c r="K26" s="276">
        <f t="shared" si="7"/>
        <v>406.875</v>
      </c>
    </row>
    <row r="27" spans="2:13" ht="16.5" customHeight="1" thickBot="1">
      <c r="D27" s="189" t="s">
        <v>254</v>
      </c>
      <c r="E27" s="220"/>
      <c r="H27" s="403">
        <f>H25+H26</f>
        <v>542.5</v>
      </c>
      <c r="I27" s="403">
        <f>I25+I26</f>
        <v>542.5</v>
      </c>
      <c r="J27" s="403">
        <f>J25+J26</f>
        <v>542.5</v>
      </c>
      <c r="K27" s="403">
        <f>K25+K26</f>
        <v>542.5</v>
      </c>
    </row>
    <row r="28" spans="2:13" ht="16.5" customHeight="1" thickTop="1">
      <c r="E28" s="220"/>
      <c r="H28" s="372"/>
      <c r="I28" s="372"/>
      <c r="J28" s="372"/>
      <c r="K28" s="372"/>
    </row>
    <row r="29" spans="2:13" ht="16.5" customHeight="1">
      <c r="E29" s="220"/>
      <c r="H29" s="372"/>
      <c r="I29" s="372"/>
      <c r="J29" s="372"/>
      <c r="K29" s="372"/>
    </row>
    <row r="30" spans="2:13" ht="16.5" customHeight="1">
      <c r="B30" s="189" t="s">
        <v>255</v>
      </c>
      <c r="E30" s="220"/>
      <c r="G30" s="274"/>
      <c r="H30" s="372">
        <f>H8-H20</f>
        <v>135.625</v>
      </c>
      <c r="I30" s="372">
        <f>I8-I20</f>
        <v>135.625</v>
      </c>
      <c r="J30" s="372">
        <f>J8-J20</f>
        <v>135.625</v>
      </c>
      <c r="K30" s="372">
        <f>K8-K20</f>
        <v>135.625</v>
      </c>
    </row>
    <row r="31" spans="2:13" ht="16.5" customHeight="1">
      <c r="B31" s="189" t="s">
        <v>279</v>
      </c>
      <c r="E31" s="220"/>
      <c r="G31" s="274"/>
      <c r="H31" s="372">
        <f>H30+H17-H5</f>
        <v>27.125</v>
      </c>
      <c r="I31" s="372">
        <f t="shared" ref="I31:K31" si="8">I30+I17-I5</f>
        <v>27.125</v>
      </c>
      <c r="J31" s="372">
        <f t="shared" si="8"/>
        <v>27.125</v>
      </c>
      <c r="K31" s="372">
        <f t="shared" si="8"/>
        <v>27.125</v>
      </c>
    </row>
    <row r="32" spans="2:13" ht="16.5" customHeight="1">
      <c r="E32" s="220"/>
      <c r="H32" s="372"/>
      <c r="I32" s="372"/>
      <c r="J32" s="372"/>
      <c r="K32" s="372"/>
    </row>
    <row r="33" spans="1:14" ht="16.5" customHeight="1">
      <c r="B33" s="189" t="s">
        <v>143</v>
      </c>
      <c r="E33" s="220"/>
      <c r="G33" s="274">
        <f>A40</f>
        <v>2</v>
      </c>
      <c r="H33" s="372">
        <f>H11-H23</f>
        <v>108.5</v>
      </c>
      <c r="I33" s="372">
        <f>I11-I23</f>
        <v>108.5</v>
      </c>
      <c r="J33" s="372">
        <f>J11-J23</f>
        <v>108.5</v>
      </c>
      <c r="K33" s="372">
        <f>K11-K23</f>
        <v>108.5</v>
      </c>
    </row>
    <row r="34" spans="1:14" ht="16.5" customHeight="1">
      <c r="E34" s="220"/>
      <c r="H34" s="372"/>
      <c r="I34" s="372"/>
      <c r="J34" s="372"/>
      <c r="K34" s="372"/>
    </row>
    <row r="35" spans="1:14" ht="16.5" customHeight="1">
      <c r="B35" s="189" t="s">
        <v>256</v>
      </c>
      <c r="E35" s="220"/>
      <c r="H35" s="372">
        <f>H22+H17</f>
        <v>108.5</v>
      </c>
      <c r="I35" s="372">
        <f>I22+I17</f>
        <v>108.5</v>
      </c>
      <c r="J35" s="372">
        <f>J22+J17</f>
        <v>108.5</v>
      </c>
      <c r="K35" s="372">
        <f>K22+K17</f>
        <v>108.5</v>
      </c>
    </row>
    <row r="36" spans="1:14" ht="16.5" customHeight="1">
      <c r="E36" s="220"/>
      <c r="H36" s="372"/>
      <c r="I36" s="372"/>
      <c r="J36" s="372"/>
      <c r="K36" s="372"/>
    </row>
    <row r="37" spans="1:14" ht="16.5" customHeight="1">
      <c r="A37" s="315"/>
      <c r="B37" s="315"/>
      <c r="C37" s="315"/>
      <c r="D37" s="315"/>
      <c r="E37" s="315"/>
      <c r="F37" s="315"/>
      <c r="G37" s="315"/>
      <c r="H37" s="315"/>
      <c r="I37" s="315"/>
      <c r="J37" s="315"/>
      <c r="K37" s="315"/>
      <c r="L37" s="315"/>
    </row>
    <row r="38" spans="1:14" ht="16.5" customHeight="1">
      <c r="A38" s="189" t="s">
        <v>25</v>
      </c>
    </row>
    <row r="39" spans="1:14" ht="16.5" customHeight="1">
      <c r="A39" s="407">
        <v>1</v>
      </c>
      <c r="B39" s="189" t="s">
        <v>257</v>
      </c>
    </row>
    <row r="40" spans="1:14" ht="16.5" customHeight="1">
      <c r="A40" s="407">
        <v>2</v>
      </c>
      <c r="B40" s="189" t="s">
        <v>258</v>
      </c>
    </row>
    <row r="41" spans="1:14" ht="16.5" customHeight="1">
      <c r="A41" s="275"/>
      <c r="B41" s="207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</row>
    <row r="42" spans="1:14" ht="16.5" customHeight="1">
      <c r="B42" s="207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</row>
    <row r="43" spans="1:14" ht="16.5" customHeight="1">
      <c r="B43" s="207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</row>
    <row r="44" spans="1:14" ht="16.5" customHeight="1">
      <c r="B44" s="207"/>
      <c r="C44" s="207"/>
      <c r="D44" s="207"/>
      <c r="E44" s="207"/>
      <c r="F44" s="207"/>
      <c r="G44" s="207"/>
      <c r="H44" s="404"/>
      <c r="I44" s="404"/>
      <c r="J44" s="404"/>
      <c r="K44" s="404"/>
      <c r="L44" s="207"/>
      <c r="M44" s="207"/>
      <c r="N44" s="207"/>
    </row>
    <row r="45" spans="1:14" ht="16.5" customHeight="1">
      <c r="B45" s="207"/>
      <c r="C45" s="207"/>
      <c r="D45" s="207"/>
      <c r="E45" s="207"/>
      <c r="F45" s="207"/>
      <c r="G45" s="207"/>
      <c r="H45" s="206"/>
      <c r="I45" s="206"/>
      <c r="J45" s="206"/>
      <c r="K45" s="206"/>
      <c r="L45" s="207"/>
      <c r="M45" s="207"/>
      <c r="N45" s="207"/>
    </row>
    <row r="46" spans="1:14" ht="16.5" customHeight="1">
      <c r="B46" s="207"/>
      <c r="C46" s="207"/>
      <c r="D46" s="207"/>
      <c r="E46" s="207"/>
      <c r="F46" s="207"/>
      <c r="G46" s="207"/>
      <c r="H46" s="207"/>
      <c r="I46" s="207"/>
      <c r="J46" s="207"/>
      <c r="K46" s="207"/>
      <c r="L46" s="207"/>
      <c r="M46" s="207"/>
      <c r="N46" s="207"/>
    </row>
    <row r="47" spans="1:14" ht="16.5" customHeight="1">
      <c r="B47" s="207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</row>
    <row r="48" spans="1:14" ht="16.5" customHeight="1">
      <c r="B48" s="207"/>
      <c r="C48" s="207"/>
      <c r="D48" s="207"/>
      <c r="E48" s="207"/>
      <c r="F48" s="207"/>
      <c r="G48" s="207"/>
      <c r="H48" s="206"/>
      <c r="I48" s="206"/>
      <c r="J48" s="206"/>
      <c r="K48" s="206"/>
      <c r="L48" s="207"/>
      <c r="M48" s="207"/>
      <c r="N48" s="207"/>
    </row>
    <row r="49" spans="2:14" ht="16.5" customHeight="1">
      <c r="B49" s="207"/>
      <c r="C49" s="207"/>
      <c r="D49" s="207"/>
      <c r="E49" s="207"/>
      <c r="F49" s="207"/>
      <c r="G49" s="207"/>
      <c r="H49" s="206"/>
      <c r="I49" s="206"/>
      <c r="J49" s="206"/>
      <c r="K49" s="206"/>
      <c r="L49" s="207"/>
      <c r="M49" s="207"/>
      <c r="N49" s="207"/>
    </row>
    <row r="50" spans="2:14" ht="16.5" customHeight="1">
      <c r="B50" s="207"/>
      <c r="C50" s="244"/>
      <c r="D50" s="207"/>
      <c r="E50" s="207"/>
      <c r="F50" s="207"/>
      <c r="G50" s="207"/>
      <c r="H50" s="206"/>
      <c r="I50" s="206"/>
      <c r="J50" s="206"/>
      <c r="K50" s="206"/>
      <c r="L50" s="207"/>
      <c r="M50" s="207"/>
      <c r="N50" s="207"/>
    </row>
    <row r="51" spans="2:14" ht="16.5" customHeight="1">
      <c r="B51" s="207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</row>
    <row r="52" spans="2:14" ht="16.5" customHeight="1">
      <c r="B52" s="207"/>
      <c r="C52" s="207"/>
      <c r="D52" s="207"/>
      <c r="E52" s="207"/>
      <c r="F52" s="207"/>
      <c r="G52" s="207"/>
      <c r="H52" s="206"/>
      <c r="I52" s="206"/>
      <c r="J52" s="206"/>
      <c r="K52" s="206"/>
      <c r="L52" s="207"/>
      <c r="M52" s="207"/>
      <c r="N52" s="207"/>
    </row>
    <row r="53" spans="2:14" ht="16.5" customHeight="1">
      <c r="B53" s="207"/>
      <c r="C53" s="244"/>
      <c r="D53" s="244"/>
      <c r="E53" s="207"/>
      <c r="F53" s="207"/>
      <c r="G53" s="207"/>
      <c r="H53" s="206"/>
      <c r="I53" s="206"/>
      <c r="J53" s="206"/>
      <c r="K53" s="206"/>
      <c r="L53" s="207"/>
      <c r="M53" s="207"/>
      <c r="N53" s="207"/>
    </row>
    <row r="54" spans="2:14" ht="16.5" customHeight="1">
      <c r="B54" s="207"/>
      <c r="C54" s="207"/>
      <c r="D54" s="207"/>
      <c r="E54" s="207"/>
      <c r="F54" s="207"/>
      <c r="G54" s="207"/>
      <c r="H54" s="207"/>
      <c r="I54" s="207"/>
      <c r="J54" s="207"/>
      <c r="K54" s="207"/>
      <c r="L54" s="207"/>
      <c r="M54" s="207"/>
      <c r="N54" s="207"/>
    </row>
    <row r="55" spans="2:14" ht="16.5" customHeight="1">
      <c r="B55" s="207"/>
      <c r="C55" s="207"/>
      <c r="D55" s="207"/>
      <c r="E55" s="207"/>
      <c r="F55" s="207"/>
      <c r="G55" s="207"/>
      <c r="H55" s="206"/>
      <c r="I55" s="206"/>
      <c r="J55" s="206"/>
      <c r="K55" s="206"/>
      <c r="L55" s="207"/>
      <c r="M55" s="207"/>
      <c r="N55" s="207"/>
    </row>
    <row r="56" spans="2:14" ht="16.5" customHeight="1">
      <c r="B56" s="207"/>
      <c r="C56" s="244"/>
      <c r="D56" s="244"/>
      <c r="E56" s="207"/>
      <c r="F56" s="207"/>
      <c r="G56" s="207"/>
      <c r="H56" s="206"/>
      <c r="I56" s="206"/>
      <c r="J56" s="206"/>
      <c r="K56" s="206"/>
      <c r="L56" s="207"/>
      <c r="M56" s="207"/>
      <c r="N56" s="207"/>
    </row>
    <row r="57" spans="2:14" ht="16.5" customHeight="1">
      <c r="B57" s="207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</row>
    <row r="58" spans="2:14" ht="16.5" customHeight="1">
      <c r="B58" s="207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</row>
    <row r="59" spans="2:14" ht="16.5" customHeight="1">
      <c r="B59" s="207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</row>
  </sheetData>
  <printOptions horizontalCentered="1"/>
  <pageMargins left="0.5" right="0.5" top="0.5" bottom="0.5" header="0.3" footer="0.3"/>
  <pageSetup scale="82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A15F00"/>
  </sheetPr>
  <dimension ref="A1"/>
  <sheetViews>
    <sheetView workbookViewId="0">
      <selection activeCell="J45" sqref="J45"/>
    </sheetView>
  </sheetViews>
  <sheetFormatPr defaultRowHeight="14.25"/>
  <cols>
    <col min="1" max="16384" width="9" style="2"/>
  </cols>
  <sheetData/>
  <phoneticPr fontId="11" type="noConversion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51"/>
  <sheetViews>
    <sheetView view="pageBreakPreview" topLeftCell="A27" zoomScale="85" zoomScaleNormal="100" zoomScaleSheetLayoutView="85" workbookViewId="0">
      <selection activeCell="H27" sqref="H27:N27"/>
    </sheetView>
  </sheetViews>
  <sheetFormatPr defaultRowHeight="15"/>
  <cols>
    <col min="1" max="1" width="4.125" style="365" customWidth="1"/>
    <col min="2" max="2" width="15.625" style="365" customWidth="1"/>
    <col min="3" max="3" width="16.25" style="365" customWidth="1"/>
    <col min="4" max="4" width="1.5" style="365" customWidth="1"/>
    <col min="5" max="5" width="12.375" style="365" customWidth="1"/>
    <col min="6" max="6" width="1.5" style="365" customWidth="1"/>
    <col min="7" max="7" width="8.125" style="365" bestFit="1" customWidth="1"/>
    <col min="8" max="8" width="11.875" style="365" bestFit="1" customWidth="1"/>
    <col min="9" max="9" width="11.875" style="365" customWidth="1"/>
    <col min="10" max="14" width="11.875" style="365" bestFit="1" customWidth="1"/>
    <col min="15" max="15" width="2" style="365" customWidth="1"/>
    <col min="16" max="16" width="9" style="365"/>
    <col min="17" max="22" width="7.625" style="365" customWidth="1"/>
    <col min="23" max="23" width="10.875" style="365" customWidth="1"/>
    <col min="24" max="24" width="7.625" style="365" customWidth="1"/>
    <col min="25" max="25" width="9" style="365"/>
    <col min="26" max="26" width="1" style="365" customWidth="1"/>
    <col min="27" max="27" width="9" style="365"/>
    <col min="28" max="28" width="1.75" style="365" customWidth="1"/>
    <col min="29" max="29" width="9" style="365"/>
    <col min="30" max="30" width="1" style="365" customWidth="1"/>
    <col min="31" max="31" width="9" style="365"/>
    <col min="32" max="32" width="1.75" style="365" customWidth="1"/>
    <col min="33" max="16384" width="9" style="365"/>
  </cols>
  <sheetData>
    <row r="1" spans="1:30">
      <c r="A1" s="189"/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</row>
    <row r="2" spans="1:30">
      <c r="A2" s="189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</row>
    <row r="3" spans="1:30">
      <c r="A3" s="220" t="s">
        <v>225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366"/>
    </row>
    <row r="4" spans="1:30">
      <c r="A4" s="189"/>
      <c r="B4" s="189"/>
      <c r="C4" s="189"/>
      <c r="D4" s="189"/>
      <c r="E4" s="189"/>
      <c r="F4" s="189"/>
      <c r="G4" s="189"/>
      <c r="H4" s="586" t="s">
        <v>154</v>
      </c>
      <c r="I4" s="587"/>
      <c r="J4" s="587"/>
      <c r="K4" s="587"/>
      <c r="L4" s="587"/>
      <c r="M4" s="587"/>
      <c r="N4" s="588"/>
      <c r="O4" s="189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  <c r="AD4" s="366"/>
    </row>
    <row r="5" spans="1:30">
      <c r="A5" s="189"/>
      <c r="B5" s="367" t="s">
        <v>155</v>
      </c>
      <c r="C5" s="189"/>
      <c r="D5" s="189"/>
      <c r="E5" s="189"/>
      <c r="F5" s="189"/>
      <c r="G5" s="189"/>
      <c r="H5" s="368" t="str">
        <f>IRR!N3</f>
        <v>2020</v>
      </c>
      <c r="I5" s="369">
        <f>IRR!P3</f>
        <v>2021</v>
      </c>
      <c r="J5" s="369">
        <f>IRR!Q3</f>
        <v>2022</v>
      </c>
      <c r="K5" s="369">
        <f>IRR!R3</f>
        <v>2023</v>
      </c>
      <c r="L5" s="369">
        <f>IRR!S3</f>
        <v>2024</v>
      </c>
      <c r="M5" s="369">
        <f>IRR!T3</f>
        <v>2025</v>
      </c>
      <c r="N5" s="370">
        <f>IRR!U3</f>
        <v>2026</v>
      </c>
      <c r="O5" s="189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</row>
    <row r="6" spans="1:30">
      <c r="A6" s="189"/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</row>
    <row r="7" spans="1:30">
      <c r="A7" s="189"/>
      <c r="B7" s="189" t="s">
        <v>156</v>
      </c>
      <c r="C7" s="189"/>
      <c r="D7" s="189"/>
      <c r="E7" s="189"/>
      <c r="F7" s="189"/>
      <c r="G7" s="189"/>
      <c r="H7" s="371">
        <f>+'Hist BS (All)'!K10</f>
        <v>271.25</v>
      </c>
      <c r="I7" s="372">
        <f t="shared" ref="I7:N7" si="0">H7-H13</f>
        <v>213.125</v>
      </c>
      <c r="J7" s="372">
        <f t="shared" si="0"/>
        <v>167.45535714285714</v>
      </c>
      <c r="K7" s="372">
        <f t="shared" si="0"/>
        <v>131.5720663265306</v>
      </c>
      <c r="L7" s="372">
        <f t="shared" si="0"/>
        <v>98.679049744897952</v>
      </c>
      <c r="M7" s="372">
        <f t="shared" si="0"/>
        <v>65.786033163265301</v>
      </c>
      <c r="N7" s="372">
        <f t="shared" si="0"/>
        <v>32.893016581632651</v>
      </c>
      <c r="O7" s="189"/>
      <c r="Q7" s="366"/>
      <c r="R7" s="366"/>
      <c r="S7" s="366"/>
      <c r="T7" s="366"/>
      <c r="U7" s="373"/>
      <c r="V7" s="373"/>
      <c r="W7" s="366"/>
      <c r="X7" s="366"/>
      <c r="Y7" s="366"/>
      <c r="Z7" s="366"/>
      <c r="AA7" s="373"/>
      <c r="AB7" s="373"/>
      <c r="AC7" s="366"/>
      <c r="AD7" s="366"/>
    </row>
    <row r="8" spans="1:30">
      <c r="A8" s="189"/>
      <c r="B8" s="189" t="s">
        <v>157</v>
      </c>
      <c r="C8" s="189"/>
      <c r="D8" s="189"/>
      <c r="E8" s="189"/>
      <c r="F8" s="189"/>
      <c r="G8" s="189"/>
      <c r="H8" s="222">
        <f>G18</f>
        <v>7</v>
      </c>
      <c r="I8" s="222">
        <f t="shared" ref="I8:N8" si="1">IF(H8-1&lt;0,0,H8-1)</f>
        <v>6</v>
      </c>
      <c r="J8" s="222">
        <f t="shared" si="1"/>
        <v>5</v>
      </c>
      <c r="K8" s="222">
        <f t="shared" si="1"/>
        <v>4</v>
      </c>
      <c r="L8" s="222">
        <f t="shared" si="1"/>
        <v>3</v>
      </c>
      <c r="M8" s="222">
        <f t="shared" si="1"/>
        <v>2</v>
      </c>
      <c r="N8" s="222">
        <f t="shared" si="1"/>
        <v>1</v>
      </c>
      <c r="O8" s="189"/>
      <c r="Q8" s="366"/>
      <c r="R8" s="366"/>
      <c r="S8" s="198"/>
      <c r="T8" s="366"/>
      <c r="U8" s="373"/>
      <c r="V8" s="373"/>
      <c r="W8" s="366"/>
      <c r="X8" s="366"/>
      <c r="Y8" s="366"/>
      <c r="Z8" s="366"/>
      <c r="AA8" s="373"/>
      <c r="AB8" s="373"/>
      <c r="AC8" s="366"/>
      <c r="AD8" s="366"/>
    </row>
    <row r="9" spans="1:30">
      <c r="A9" s="189"/>
      <c r="B9" s="189"/>
      <c r="C9" s="189"/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Q9" s="366"/>
      <c r="R9" s="366"/>
      <c r="S9" s="198"/>
      <c r="T9" s="366"/>
      <c r="U9" s="373"/>
      <c r="V9" s="373"/>
      <c r="W9" s="366"/>
      <c r="X9" s="366"/>
      <c r="Y9" s="366"/>
      <c r="Z9" s="366"/>
      <c r="AA9" s="373"/>
      <c r="AB9" s="373"/>
      <c r="AC9" s="366"/>
      <c r="AD9" s="366"/>
    </row>
    <row r="10" spans="1:30">
      <c r="A10" s="189"/>
      <c r="B10" s="189" t="s">
        <v>36</v>
      </c>
      <c r="C10" s="189"/>
      <c r="D10" s="189"/>
      <c r="E10" s="189"/>
      <c r="F10" s="189"/>
      <c r="G10" s="189"/>
      <c r="H10" s="276">
        <f t="shared" ref="H10:N10" si="2">IF(H7=0,0,H7/$G$18*$G$19)</f>
        <v>58.125</v>
      </c>
      <c r="I10" s="276">
        <f t="shared" si="2"/>
        <v>45.669642857142861</v>
      </c>
      <c r="J10" s="276">
        <f t="shared" si="2"/>
        <v>35.883290816326529</v>
      </c>
      <c r="K10" s="276">
        <f t="shared" si="2"/>
        <v>28.194014212827987</v>
      </c>
      <c r="L10" s="276">
        <f t="shared" si="2"/>
        <v>21.145510659620989</v>
      </c>
      <c r="M10" s="276">
        <f t="shared" si="2"/>
        <v>14.097007106413994</v>
      </c>
      <c r="N10" s="276">
        <f t="shared" si="2"/>
        <v>7.0485035532069968</v>
      </c>
      <c r="O10" s="189"/>
      <c r="R10" s="366"/>
      <c r="S10" s="198"/>
      <c r="T10" s="366"/>
      <c r="U10" s="373"/>
      <c r="V10" s="366"/>
      <c r="W10" s="366"/>
      <c r="X10" s="366"/>
      <c r="Y10" s="366"/>
      <c r="Z10" s="366"/>
      <c r="AA10" s="366"/>
      <c r="AB10" s="366"/>
      <c r="AC10" s="366"/>
      <c r="AD10" s="366"/>
    </row>
    <row r="11" spans="1:30">
      <c r="A11" s="189"/>
      <c r="B11" s="189" t="s">
        <v>37</v>
      </c>
      <c r="C11" s="189"/>
      <c r="D11" s="189"/>
      <c r="E11" s="189"/>
      <c r="F11" s="189"/>
      <c r="G11" s="189"/>
      <c r="H11" s="276">
        <f t="shared" ref="H11:N11" si="3">IF(H7=0,0,H7/H8)</f>
        <v>38.75</v>
      </c>
      <c r="I11" s="276">
        <f t="shared" si="3"/>
        <v>35.520833333333336</v>
      </c>
      <c r="J11" s="276">
        <f t="shared" si="3"/>
        <v>33.491071428571431</v>
      </c>
      <c r="K11" s="276">
        <f t="shared" si="3"/>
        <v>32.893016581632651</v>
      </c>
      <c r="L11" s="276">
        <f t="shared" si="3"/>
        <v>32.893016581632651</v>
      </c>
      <c r="M11" s="276">
        <f t="shared" si="3"/>
        <v>32.893016581632651</v>
      </c>
      <c r="N11" s="276">
        <f t="shared" si="3"/>
        <v>32.893016581632651</v>
      </c>
      <c r="O11" s="189"/>
      <c r="Q11" s="366"/>
      <c r="R11" s="366"/>
      <c r="S11" s="198"/>
      <c r="T11" s="366"/>
      <c r="U11" s="373"/>
      <c r="V11" s="366"/>
      <c r="W11" s="366"/>
      <c r="X11" s="366"/>
      <c r="Y11" s="366"/>
      <c r="Z11" s="366"/>
      <c r="AA11" s="366"/>
      <c r="AB11" s="366"/>
      <c r="AC11" s="366"/>
      <c r="AD11" s="366"/>
    </row>
    <row r="12" spans="1:30">
      <c r="A12" s="189"/>
      <c r="B12" s="189"/>
      <c r="C12" s="189"/>
      <c r="D12" s="189"/>
      <c r="E12" s="189"/>
      <c r="F12" s="189"/>
      <c r="G12" s="189"/>
      <c r="H12" s="276"/>
      <c r="I12" s="276"/>
      <c r="J12" s="276"/>
      <c r="K12" s="276"/>
      <c r="L12" s="276"/>
      <c r="M12" s="276"/>
      <c r="N12" s="276"/>
      <c r="O12" s="189"/>
      <c r="Q12" s="366"/>
      <c r="R12" s="366"/>
      <c r="S12" s="198"/>
      <c r="T12" s="366"/>
      <c r="U12" s="373"/>
      <c r="V12" s="366"/>
      <c r="W12" s="366"/>
      <c r="X12" s="366"/>
      <c r="Y12" s="366"/>
      <c r="Z12" s="366"/>
      <c r="AA12" s="366"/>
      <c r="AB12" s="366"/>
      <c r="AC12" s="366"/>
      <c r="AD12" s="366"/>
    </row>
    <row r="13" spans="1:30">
      <c r="A13" s="189"/>
      <c r="B13" s="189" t="s">
        <v>158</v>
      </c>
      <c r="C13" s="189"/>
      <c r="D13" s="189"/>
      <c r="E13" s="189"/>
      <c r="F13" s="189"/>
      <c r="G13" s="189"/>
      <c r="H13" s="374">
        <f>(IF(H10&gt;H11,H10,H11))</f>
        <v>58.125</v>
      </c>
      <c r="I13" s="374">
        <f t="shared" ref="I13:N13" si="4">IF(I10&gt;I11,I10,I11)</f>
        <v>45.669642857142861</v>
      </c>
      <c r="J13" s="374">
        <f t="shared" si="4"/>
        <v>35.883290816326529</v>
      </c>
      <c r="K13" s="374">
        <f t="shared" si="4"/>
        <v>32.893016581632651</v>
      </c>
      <c r="L13" s="374">
        <f t="shared" si="4"/>
        <v>32.893016581632651</v>
      </c>
      <c r="M13" s="374">
        <f t="shared" si="4"/>
        <v>32.893016581632651</v>
      </c>
      <c r="N13" s="374">
        <f t="shared" si="4"/>
        <v>32.893016581632651</v>
      </c>
      <c r="O13" s="189"/>
      <c r="Q13" s="366"/>
      <c r="R13" s="373"/>
      <c r="S13" s="198"/>
      <c r="T13" s="373"/>
      <c r="U13" s="373"/>
      <c r="V13" s="373"/>
      <c r="W13" s="373"/>
      <c r="X13" s="373"/>
      <c r="Y13" s="366"/>
      <c r="Z13" s="366"/>
      <c r="AA13" s="366"/>
      <c r="AB13" s="366"/>
      <c r="AC13" s="366"/>
      <c r="AD13" s="366"/>
    </row>
    <row r="14" spans="1:30">
      <c r="A14" s="189"/>
      <c r="B14" s="189" t="s">
        <v>159</v>
      </c>
      <c r="C14" s="189"/>
      <c r="D14" s="189"/>
      <c r="E14" s="189"/>
      <c r="F14" s="189"/>
      <c r="G14" s="189"/>
      <c r="H14" s="276">
        <f t="shared" ref="H14:N14" si="5">H7-H13</f>
        <v>213.125</v>
      </c>
      <c r="I14" s="276">
        <f t="shared" si="5"/>
        <v>167.45535714285714</v>
      </c>
      <c r="J14" s="276">
        <f t="shared" si="5"/>
        <v>131.5720663265306</v>
      </c>
      <c r="K14" s="276">
        <f t="shared" si="5"/>
        <v>98.679049744897952</v>
      </c>
      <c r="L14" s="276">
        <f t="shared" si="5"/>
        <v>65.786033163265301</v>
      </c>
      <c r="M14" s="276">
        <f t="shared" si="5"/>
        <v>32.893016581632651</v>
      </c>
      <c r="N14" s="276">
        <f t="shared" si="5"/>
        <v>0</v>
      </c>
      <c r="O14" s="189"/>
      <c r="Q14" s="366"/>
      <c r="R14" s="366"/>
      <c r="S14" s="366"/>
      <c r="T14" s="366"/>
      <c r="U14" s="373"/>
      <c r="V14" s="366"/>
      <c r="W14" s="366"/>
      <c r="X14" s="366"/>
      <c r="Y14" s="366"/>
      <c r="Z14" s="366"/>
      <c r="AA14" s="366"/>
      <c r="AB14" s="366"/>
      <c r="AC14" s="366"/>
      <c r="AD14" s="366"/>
    </row>
    <row r="15" spans="1:30">
      <c r="A15" s="189"/>
      <c r="B15" s="189"/>
      <c r="C15" s="189"/>
      <c r="D15" s="189"/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  <c r="Q15" s="366"/>
      <c r="R15" s="366"/>
      <c r="S15" s="198"/>
      <c r="T15" s="366"/>
      <c r="U15" s="373"/>
      <c r="V15" s="366"/>
      <c r="W15" s="366"/>
      <c r="X15" s="366"/>
      <c r="Y15" s="366"/>
      <c r="Z15" s="366"/>
      <c r="AA15" s="366"/>
      <c r="AB15" s="366"/>
      <c r="AC15" s="366"/>
      <c r="AD15" s="366"/>
    </row>
    <row r="16" spans="1:30">
      <c r="A16" s="189"/>
      <c r="B16" s="189"/>
      <c r="C16" s="189"/>
      <c r="D16" s="189"/>
      <c r="E16" s="189"/>
      <c r="F16" s="189"/>
      <c r="G16" s="189"/>
      <c r="H16" s="189"/>
      <c r="I16" s="189"/>
      <c r="J16" s="189"/>
      <c r="K16" s="189"/>
      <c r="L16" s="189"/>
      <c r="M16" s="189"/>
      <c r="N16" s="189"/>
      <c r="O16" s="189"/>
      <c r="Q16" s="366"/>
      <c r="R16" s="366"/>
      <c r="S16" s="198"/>
      <c r="T16" s="366"/>
      <c r="U16" s="373"/>
      <c r="V16" s="366"/>
      <c r="W16" s="366"/>
      <c r="X16" s="366"/>
      <c r="Y16" s="366"/>
      <c r="Z16" s="366"/>
      <c r="AA16" s="366"/>
      <c r="AB16" s="366"/>
      <c r="AC16" s="366"/>
      <c r="AD16" s="366"/>
    </row>
    <row r="17" spans="1:30">
      <c r="A17" s="189"/>
      <c r="B17" s="189"/>
      <c r="C17" s="189"/>
      <c r="D17" s="189"/>
      <c r="E17" s="189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</row>
    <row r="18" spans="1:30">
      <c r="A18" s="189"/>
      <c r="B18" s="189" t="s">
        <v>160</v>
      </c>
      <c r="C18" s="189"/>
      <c r="D18" s="189"/>
      <c r="E18" s="189"/>
      <c r="F18" s="189"/>
      <c r="G18" s="375">
        <v>7</v>
      </c>
      <c r="H18" s="189"/>
      <c r="I18" s="189"/>
      <c r="J18" s="189"/>
      <c r="K18" s="189"/>
      <c r="L18" s="189"/>
      <c r="M18" s="189"/>
      <c r="N18" s="189"/>
      <c r="O18" s="189"/>
      <c r="Q18" s="366"/>
      <c r="R18" s="366"/>
      <c r="S18" s="198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</row>
    <row r="19" spans="1:30">
      <c r="A19" s="189"/>
      <c r="B19" s="189" t="s">
        <v>6</v>
      </c>
      <c r="C19" s="189"/>
      <c r="D19" s="189"/>
      <c r="E19" s="189"/>
      <c r="F19" s="189"/>
      <c r="G19" s="376">
        <v>1.5</v>
      </c>
      <c r="H19" s="189"/>
      <c r="I19" s="189"/>
      <c r="J19" s="189"/>
      <c r="K19" s="189"/>
      <c r="L19" s="189"/>
      <c r="M19" s="189"/>
      <c r="N19" s="189"/>
      <c r="O19" s="189"/>
      <c r="Q19" s="377"/>
      <c r="R19" s="377"/>
      <c r="S19" s="378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</row>
    <row r="20" spans="1:30">
      <c r="A20" s="189"/>
      <c r="B20" s="189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</row>
    <row r="21" spans="1:30">
      <c r="A21" s="220" t="s">
        <v>226</v>
      </c>
      <c r="B21" s="189"/>
      <c r="C21" s="189"/>
      <c r="D21" s="189"/>
      <c r="E21" s="189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</row>
    <row r="22" spans="1:30">
      <c r="A22" s="189"/>
      <c r="B22" s="189"/>
      <c r="C22" s="189"/>
      <c r="D22" s="189"/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</row>
    <row r="23" spans="1:30">
      <c r="A23" s="189"/>
      <c r="B23" s="367" t="s">
        <v>161</v>
      </c>
      <c r="C23" s="189"/>
      <c r="D23" s="189"/>
      <c r="E23" s="189"/>
      <c r="F23" s="189"/>
      <c r="G23" s="189"/>
      <c r="H23" s="189"/>
      <c r="I23" s="189"/>
      <c r="J23" s="189"/>
      <c r="K23" s="189"/>
      <c r="L23" s="189"/>
      <c r="M23" s="189"/>
      <c r="N23" s="189"/>
      <c r="O23" s="189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</row>
    <row r="24" spans="1:30">
      <c r="A24" s="189"/>
      <c r="B24" s="189" t="s">
        <v>162</v>
      </c>
      <c r="C24" s="189"/>
      <c r="D24" s="189"/>
      <c r="E24" s="189"/>
      <c r="F24" s="189"/>
      <c r="G24" s="379">
        <v>1</v>
      </c>
      <c r="H24" s="189"/>
      <c r="I24" s="189"/>
      <c r="J24" s="189"/>
      <c r="K24" s="189"/>
      <c r="L24" s="189"/>
      <c r="M24" s="189"/>
      <c r="N24" s="189"/>
      <c r="O24" s="189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</row>
    <row r="25" spans="1:30">
      <c r="A25" s="189"/>
      <c r="B25" s="189" t="s">
        <v>35</v>
      </c>
      <c r="C25" s="189"/>
      <c r="D25" s="189"/>
      <c r="E25" s="189"/>
      <c r="F25" s="189"/>
      <c r="G25" s="376">
        <f>SUM(G24:G24)</f>
        <v>1</v>
      </c>
      <c r="H25" s="189"/>
      <c r="I25" s="189"/>
      <c r="J25" s="189"/>
      <c r="K25" s="189"/>
      <c r="L25" s="189"/>
      <c r="M25" s="189"/>
      <c r="N25" s="189"/>
      <c r="O25" s="189"/>
      <c r="R25" s="36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</row>
    <row r="26" spans="1:30">
      <c r="A26" s="189"/>
      <c r="B26" s="189"/>
      <c r="C26" s="189"/>
      <c r="D26" s="189"/>
      <c r="E26" s="189"/>
      <c r="F26" s="189"/>
      <c r="G26" s="189"/>
      <c r="H26" s="189"/>
      <c r="I26" s="189"/>
      <c r="J26" s="189"/>
      <c r="K26" s="189"/>
      <c r="L26" s="189"/>
      <c r="M26" s="189"/>
      <c r="N26" s="189"/>
      <c r="O26" s="189"/>
      <c r="R26" s="36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</row>
    <row r="27" spans="1:30">
      <c r="A27" s="189"/>
      <c r="B27" s="189"/>
      <c r="C27" s="189"/>
      <c r="D27" s="189"/>
      <c r="E27" s="189"/>
      <c r="F27" s="189"/>
      <c r="G27" s="189"/>
      <c r="H27" s="586" t="str">
        <f>H4</f>
        <v>Projected Year Ending December 31,</v>
      </c>
      <c r="I27" s="587"/>
      <c r="J27" s="587"/>
      <c r="K27" s="587"/>
      <c r="L27" s="587"/>
      <c r="M27" s="587"/>
      <c r="N27" s="588"/>
      <c r="O27" s="189"/>
      <c r="Q27" s="198"/>
      <c r="R27" s="36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</row>
    <row r="28" spans="1:30">
      <c r="A28" s="189"/>
      <c r="B28" s="189"/>
      <c r="C28" s="189"/>
      <c r="D28" s="189"/>
      <c r="E28" s="189"/>
      <c r="F28" s="189"/>
      <c r="G28" s="189"/>
      <c r="H28" s="368" t="str">
        <f>H5</f>
        <v>2020</v>
      </c>
      <c r="I28" s="369">
        <f t="shared" ref="I28:N28" si="6">I5</f>
        <v>2021</v>
      </c>
      <c r="J28" s="369">
        <f t="shared" si="6"/>
        <v>2022</v>
      </c>
      <c r="K28" s="369">
        <f t="shared" si="6"/>
        <v>2023</v>
      </c>
      <c r="L28" s="369">
        <f t="shared" si="6"/>
        <v>2024</v>
      </c>
      <c r="M28" s="369">
        <f t="shared" si="6"/>
        <v>2025</v>
      </c>
      <c r="N28" s="370">
        <f t="shared" si="6"/>
        <v>2026</v>
      </c>
      <c r="O28" s="189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</row>
    <row r="29" spans="1:30">
      <c r="A29" s="189"/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</row>
    <row r="30" spans="1:30">
      <c r="A30" s="189"/>
      <c r="B30" s="189" t="s">
        <v>163</v>
      </c>
      <c r="C30" s="189"/>
      <c r="D30" s="189"/>
      <c r="E30" s="189"/>
      <c r="F30" s="189"/>
      <c r="G30" s="189"/>
      <c r="H30" s="276">
        <f>IRR!N31</f>
        <v>406.875</v>
      </c>
      <c r="I30" s="276">
        <f>IRR!P31</f>
        <v>623.875</v>
      </c>
      <c r="J30" s="276">
        <f>IRR!Q31</f>
        <v>717.45624999999984</v>
      </c>
      <c r="K30" s="276">
        <f>IRR!R31</f>
        <v>789.20187499999986</v>
      </c>
      <c r="L30" s="276">
        <f>IRR!S31</f>
        <v>868.12206249999986</v>
      </c>
      <c r="M30" s="276">
        <f>IRR!T31</f>
        <v>911.52816562499993</v>
      </c>
      <c r="N30" s="276">
        <f>IRR!U31</f>
        <v>957.10457390625004</v>
      </c>
      <c r="O30" s="189"/>
    </row>
    <row r="31" spans="1:30">
      <c r="A31" s="189"/>
      <c r="B31" s="189"/>
      <c r="C31" s="189"/>
      <c r="D31" s="189"/>
      <c r="E31" s="189"/>
      <c r="F31" s="189"/>
      <c r="G31" s="189"/>
      <c r="H31" s="189"/>
      <c r="I31" s="189"/>
      <c r="J31" s="189"/>
      <c r="K31" s="189"/>
      <c r="L31" s="189"/>
      <c r="M31" s="189"/>
      <c r="N31" s="189"/>
      <c r="O31" s="189"/>
    </row>
    <row r="32" spans="1:30">
      <c r="A32" s="189"/>
      <c r="B32" s="189"/>
      <c r="C32" s="189"/>
      <c r="D32" s="189"/>
      <c r="E32" s="189"/>
      <c r="F32" s="189"/>
      <c r="G32" s="189"/>
      <c r="H32" s="189"/>
      <c r="I32" s="189"/>
      <c r="J32" s="189"/>
      <c r="K32" s="189"/>
      <c r="L32" s="189"/>
      <c r="M32" s="189"/>
      <c r="N32" s="189"/>
      <c r="O32" s="189"/>
    </row>
    <row r="33" spans="1:24">
      <c r="A33" s="189"/>
      <c r="B33" s="367" t="s">
        <v>227</v>
      </c>
      <c r="C33" s="189"/>
      <c r="D33" s="189"/>
      <c r="E33" s="189"/>
      <c r="F33" s="189"/>
      <c r="G33" s="189"/>
      <c r="H33" s="189"/>
      <c r="I33" s="189"/>
      <c r="J33" s="189"/>
      <c r="K33" s="189"/>
      <c r="L33" s="189"/>
      <c r="M33" s="189"/>
      <c r="N33" s="189"/>
      <c r="O33" s="189"/>
      <c r="Q33" s="380" t="s">
        <v>228</v>
      </c>
      <c r="R33" s="381"/>
      <c r="S33" s="382"/>
      <c r="T33" s="381"/>
      <c r="U33" s="382"/>
      <c r="V33" s="381"/>
      <c r="W33" s="382"/>
      <c r="X33" s="383"/>
    </row>
    <row r="34" spans="1:24">
      <c r="A34" s="189"/>
      <c r="B34" s="189" t="s">
        <v>164</v>
      </c>
      <c r="C34" s="189"/>
      <c r="D34" s="189"/>
      <c r="E34" s="189"/>
      <c r="F34" s="189"/>
      <c r="G34" s="189"/>
      <c r="H34" s="384">
        <f>Q34</f>
        <v>0.2</v>
      </c>
      <c r="I34" s="384">
        <f t="shared" ref="I34:N34" si="7">R34</f>
        <v>0.32</v>
      </c>
      <c r="J34" s="384">
        <f t="shared" si="7"/>
        <v>0.192</v>
      </c>
      <c r="K34" s="384">
        <f t="shared" si="7"/>
        <v>0.1152</v>
      </c>
      <c r="L34" s="384">
        <f t="shared" si="7"/>
        <v>0.1152</v>
      </c>
      <c r="M34" s="384">
        <f t="shared" si="7"/>
        <v>5.7599999999999998E-2</v>
      </c>
      <c r="N34" s="384">
        <f t="shared" si="7"/>
        <v>0</v>
      </c>
      <c r="O34" s="189"/>
      <c r="Q34" s="385">
        <v>0.2</v>
      </c>
      <c r="R34" s="386">
        <v>0.32</v>
      </c>
      <c r="S34" s="386">
        <v>0.192</v>
      </c>
      <c r="T34" s="386">
        <v>0.1152</v>
      </c>
      <c r="U34" s="386">
        <v>0.1152</v>
      </c>
      <c r="V34" s="386">
        <v>5.7599999999999998E-2</v>
      </c>
      <c r="W34" s="386"/>
      <c r="X34" s="387"/>
    </row>
    <row r="35" spans="1:24">
      <c r="A35" s="189"/>
      <c r="B35" s="189"/>
      <c r="C35" s="189" t="s">
        <v>8</v>
      </c>
      <c r="D35" s="189"/>
      <c r="E35" s="189" t="s">
        <v>165</v>
      </c>
      <c r="F35" s="189"/>
      <c r="G35" s="189"/>
      <c r="H35" s="189"/>
      <c r="I35" s="189"/>
      <c r="J35" s="189"/>
      <c r="K35" s="189"/>
      <c r="L35" s="189"/>
      <c r="M35" s="189"/>
      <c r="N35" s="189"/>
      <c r="O35" s="189"/>
    </row>
    <row r="36" spans="1:24">
      <c r="A36" s="189"/>
      <c r="B36" s="189"/>
      <c r="C36" s="388" t="str">
        <f>H28</f>
        <v>2020</v>
      </c>
      <c r="D36" s="189"/>
      <c r="E36" s="276">
        <f>G24*H30</f>
        <v>406.875</v>
      </c>
      <c r="F36" s="189"/>
      <c r="G36" s="189"/>
      <c r="H36" s="276">
        <f t="shared" ref="H36:N36" si="8">H34*$E$36</f>
        <v>81.375</v>
      </c>
      <c r="I36" s="276">
        <f t="shared" si="8"/>
        <v>130.19999999999999</v>
      </c>
      <c r="J36" s="276">
        <f t="shared" si="8"/>
        <v>78.12</v>
      </c>
      <c r="K36" s="276">
        <f t="shared" si="8"/>
        <v>46.872</v>
      </c>
      <c r="L36" s="276">
        <f t="shared" si="8"/>
        <v>46.872</v>
      </c>
      <c r="M36" s="276">
        <f t="shared" si="8"/>
        <v>23.436</v>
      </c>
      <c r="N36" s="276">
        <f t="shared" si="8"/>
        <v>0</v>
      </c>
      <c r="O36" s="189"/>
    </row>
    <row r="37" spans="1:24">
      <c r="A37" s="189"/>
      <c r="B37" s="189"/>
      <c r="C37" s="335">
        <f>I28</f>
        <v>2021</v>
      </c>
      <c r="D37" s="189"/>
      <c r="E37" s="276">
        <f>G24*I30</f>
        <v>623.875</v>
      </c>
      <c r="F37" s="189"/>
      <c r="G37" s="189"/>
      <c r="H37" s="276"/>
      <c r="I37" s="276">
        <f t="shared" ref="I37:N37" si="9">H34*$E$37</f>
        <v>124.77500000000001</v>
      </c>
      <c r="J37" s="276">
        <f t="shared" si="9"/>
        <v>199.64000000000001</v>
      </c>
      <c r="K37" s="276">
        <f t="shared" si="9"/>
        <v>119.78400000000001</v>
      </c>
      <c r="L37" s="276">
        <f t="shared" si="9"/>
        <v>71.870400000000004</v>
      </c>
      <c r="M37" s="276">
        <f t="shared" si="9"/>
        <v>71.870400000000004</v>
      </c>
      <c r="N37" s="276">
        <f t="shared" si="9"/>
        <v>35.935200000000002</v>
      </c>
      <c r="O37" s="189"/>
    </row>
    <row r="38" spans="1:24">
      <c r="A38" s="189"/>
      <c r="B38" s="189"/>
      <c r="C38" s="335">
        <f>J28</f>
        <v>2022</v>
      </c>
      <c r="D38" s="189"/>
      <c r="E38" s="276">
        <f>G24*J30</f>
        <v>717.45624999999984</v>
      </c>
      <c r="F38" s="189"/>
      <c r="G38" s="189"/>
      <c r="H38" s="276"/>
      <c r="I38" s="276"/>
      <c r="J38" s="276">
        <f>$E$38*H34</f>
        <v>143.49124999999998</v>
      </c>
      <c r="K38" s="276">
        <f>$E$38*I34</f>
        <v>229.58599999999996</v>
      </c>
      <c r="L38" s="276">
        <f>$E$38*J34</f>
        <v>137.75159999999997</v>
      </c>
      <c r="M38" s="276">
        <f>$E$38*K34</f>
        <v>82.650959999999984</v>
      </c>
      <c r="N38" s="276">
        <f>$E$38*L34</f>
        <v>82.650959999999984</v>
      </c>
      <c r="O38" s="189"/>
    </row>
    <row r="39" spans="1:24">
      <c r="A39" s="189"/>
      <c r="B39" s="189"/>
      <c r="C39" s="335">
        <f>K28</f>
        <v>2023</v>
      </c>
      <c r="D39" s="189"/>
      <c r="E39" s="276">
        <f>G24*K30</f>
        <v>789.20187499999986</v>
      </c>
      <c r="F39" s="189"/>
      <c r="G39" s="189"/>
      <c r="H39" s="276"/>
      <c r="I39" s="276"/>
      <c r="J39" s="276"/>
      <c r="K39" s="276">
        <f>$E$39*H34</f>
        <v>157.84037499999999</v>
      </c>
      <c r="L39" s="276">
        <f>$E$39*I34</f>
        <v>252.54459999999997</v>
      </c>
      <c r="M39" s="276">
        <f>$E$39*J34</f>
        <v>151.52675999999997</v>
      </c>
      <c r="N39" s="276">
        <f>$E$39*K34</f>
        <v>90.916055999999983</v>
      </c>
      <c r="O39" s="189"/>
    </row>
    <row r="40" spans="1:24">
      <c r="A40" s="189"/>
      <c r="B40" s="189"/>
      <c r="C40" s="335">
        <f>L28</f>
        <v>2024</v>
      </c>
      <c r="D40" s="189"/>
      <c r="E40" s="276">
        <f>G24*L30</f>
        <v>868.12206249999986</v>
      </c>
      <c r="F40" s="189"/>
      <c r="G40" s="189"/>
      <c r="H40" s="276"/>
      <c r="I40" s="276"/>
      <c r="J40" s="276"/>
      <c r="K40" s="276"/>
      <c r="L40" s="276">
        <f>$E$40*H34</f>
        <v>173.62441249999998</v>
      </c>
      <c r="M40" s="276">
        <f>$E$40*I34</f>
        <v>277.79905999999994</v>
      </c>
      <c r="N40" s="276">
        <f>$E$40*J34</f>
        <v>166.67943599999998</v>
      </c>
      <c r="O40" s="189"/>
    </row>
    <row r="41" spans="1:24">
      <c r="A41" s="189"/>
      <c r="B41" s="189"/>
      <c r="C41" s="335">
        <f>M28</f>
        <v>2025</v>
      </c>
      <c r="D41" s="189"/>
      <c r="E41" s="276">
        <f>G24*M30</f>
        <v>911.52816562499993</v>
      </c>
      <c r="F41" s="189"/>
      <c r="G41" s="189"/>
      <c r="H41" s="276"/>
      <c r="I41" s="276"/>
      <c r="J41" s="276"/>
      <c r="K41" s="276"/>
      <c r="L41" s="276"/>
      <c r="M41" s="276">
        <f>$E$41*H34</f>
        <v>182.30563312499999</v>
      </c>
      <c r="N41" s="276">
        <f>$E$41*I34</f>
        <v>291.68901299999999</v>
      </c>
      <c r="O41" s="189"/>
    </row>
    <row r="42" spans="1:24">
      <c r="A42" s="189"/>
      <c r="B42" s="189"/>
      <c r="C42" s="335">
        <f>N28</f>
        <v>2026</v>
      </c>
      <c r="D42" s="189"/>
      <c r="E42" s="276">
        <f>G24*N30</f>
        <v>957.10457390625004</v>
      </c>
      <c r="F42" s="189"/>
      <c r="G42" s="189"/>
      <c r="H42" s="276"/>
      <c r="I42" s="276"/>
      <c r="J42" s="276"/>
      <c r="K42" s="276"/>
      <c r="L42" s="276"/>
      <c r="M42" s="276"/>
      <c r="N42" s="276">
        <f>$E$42*H34</f>
        <v>191.42091478125002</v>
      </c>
      <c r="O42" s="189"/>
    </row>
    <row r="43" spans="1:24" ht="6.75" customHeight="1">
      <c r="A43" s="189"/>
      <c r="B43" s="189"/>
      <c r="C43" s="189"/>
      <c r="D43" s="189"/>
      <c r="E43" s="189"/>
      <c r="F43" s="189"/>
      <c r="G43" s="189"/>
      <c r="H43" s="315"/>
      <c r="I43" s="315"/>
      <c r="J43" s="315"/>
      <c r="K43" s="315"/>
      <c r="L43" s="315"/>
      <c r="M43" s="315"/>
      <c r="N43" s="315"/>
      <c r="O43" s="189"/>
    </row>
    <row r="44" spans="1:24">
      <c r="A44" s="189"/>
      <c r="B44" s="189" t="s">
        <v>166</v>
      </c>
      <c r="C44" s="189"/>
      <c r="D44" s="189"/>
      <c r="E44" s="189"/>
      <c r="F44" s="189"/>
      <c r="G44" s="189"/>
      <c r="H44" s="276">
        <f>SUM(H36:H42)</f>
        <v>81.375</v>
      </c>
      <c r="I44" s="276">
        <f t="shared" ref="I44:N44" si="10">SUM(I36:I42)</f>
        <v>254.97499999999999</v>
      </c>
      <c r="J44" s="276">
        <f t="shared" si="10"/>
        <v>421.25124999999997</v>
      </c>
      <c r="K44" s="276">
        <f t="shared" si="10"/>
        <v>554.08237499999996</v>
      </c>
      <c r="L44" s="276">
        <f t="shared" si="10"/>
        <v>682.66301249999992</v>
      </c>
      <c r="M44" s="276">
        <f t="shared" si="10"/>
        <v>789.58881312499989</v>
      </c>
      <c r="N44" s="276">
        <f t="shared" si="10"/>
        <v>859.29157978124999</v>
      </c>
      <c r="O44" s="189"/>
    </row>
    <row r="45" spans="1:24">
      <c r="A45" s="189"/>
      <c r="B45" s="189"/>
      <c r="C45" s="189"/>
      <c r="D45" s="189"/>
      <c r="E45" s="189"/>
      <c r="F45" s="189"/>
      <c r="G45" s="189"/>
      <c r="H45" s="276"/>
      <c r="I45" s="276"/>
      <c r="J45" s="276"/>
      <c r="K45" s="276"/>
      <c r="L45" s="276"/>
      <c r="M45" s="276"/>
      <c r="N45" s="276"/>
      <c r="O45" s="189"/>
    </row>
    <row r="46" spans="1:24">
      <c r="A46" s="189"/>
      <c r="B46" s="189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</row>
    <row r="47" spans="1:24">
      <c r="A47" s="189"/>
      <c r="B47" s="189" t="s">
        <v>167</v>
      </c>
      <c r="C47" s="189"/>
      <c r="D47" s="189"/>
      <c r="E47" s="189"/>
      <c r="F47" s="189"/>
      <c r="G47" s="189"/>
      <c r="H47" s="276">
        <f>H44</f>
        <v>81.375</v>
      </c>
      <c r="I47" s="276">
        <f t="shared" ref="I47:N47" si="11">I44</f>
        <v>254.97499999999999</v>
      </c>
      <c r="J47" s="276">
        <f t="shared" si="11"/>
        <v>421.25124999999997</v>
      </c>
      <c r="K47" s="276">
        <f t="shared" si="11"/>
        <v>554.08237499999996</v>
      </c>
      <c r="L47" s="276">
        <f t="shared" si="11"/>
        <v>682.66301249999992</v>
      </c>
      <c r="M47" s="276">
        <f t="shared" si="11"/>
        <v>789.58881312499989</v>
      </c>
      <c r="N47" s="276">
        <f t="shared" si="11"/>
        <v>859.29157978124999</v>
      </c>
      <c r="O47" s="189"/>
    </row>
    <row r="48" spans="1:24">
      <c r="A48" s="189"/>
      <c r="B48" s="189" t="s">
        <v>168</v>
      </c>
      <c r="C48" s="189"/>
      <c r="D48" s="189"/>
      <c r="E48" s="189"/>
      <c r="F48" s="189"/>
      <c r="G48" s="189"/>
      <c r="H48" s="374">
        <f t="shared" ref="H48:N48" si="12">H13</f>
        <v>58.125</v>
      </c>
      <c r="I48" s="374">
        <f t="shared" si="12"/>
        <v>45.669642857142861</v>
      </c>
      <c r="J48" s="374">
        <f t="shared" si="12"/>
        <v>35.883290816326529</v>
      </c>
      <c r="K48" s="374">
        <f t="shared" si="12"/>
        <v>32.893016581632651</v>
      </c>
      <c r="L48" s="374">
        <f t="shared" si="12"/>
        <v>32.893016581632651</v>
      </c>
      <c r="M48" s="374">
        <f t="shared" si="12"/>
        <v>32.893016581632651</v>
      </c>
      <c r="N48" s="374">
        <f t="shared" si="12"/>
        <v>32.893016581632651</v>
      </c>
      <c r="O48" s="189"/>
    </row>
    <row r="49" spans="1:32">
      <c r="A49" s="189"/>
      <c r="B49" s="189"/>
      <c r="C49" s="189"/>
      <c r="D49" s="189"/>
      <c r="E49" s="189"/>
      <c r="F49" s="189"/>
      <c r="G49" s="189"/>
      <c r="H49" s="189"/>
      <c r="I49" s="189"/>
      <c r="J49" s="189"/>
      <c r="K49" s="189"/>
      <c r="L49" s="189"/>
      <c r="M49" s="189"/>
      <c r="N49" s="189"/>
      <c r="O49" s="189"/>
    </row>
    <row r="50" spans="1:32" ht="15.75" thickBot="1">
      <c r="A50" s="189"/>
      <c r="B50" s="189" t="s">
        <v>169</v>
      </c>
      <c r="C50" s="189"/>
      <c r="D50" s="189"/>
      <c r="E50" s="189"/>
      <c r="F50" s="189"/>
      <c r="G50" s="189"/>
      <c r="H50" s="389">
        <f t="shared" ref="H50:N50" si="13">SUM(H47:H48)</f>
        <v>139.5</v>
      </c>
      <c r="I50" s="389">
        <f t="shared" si="13"/>
        <v>300.64464285714286</v>
      </c>
      <c r="J50" s="389">
        <f t="shared" si="13"/>
        <v>457.13454081632648</v>
      </c>
      <c r="K50" s="389">
        <f t="shared" si="13"/>
        <v>586.97539158163261</v>
      </c>
      <c r="L50" s="389">
        <f t="shared" si="13"/>
        <v>715.55602908163257</v>
      </c>
      <c r="M50" s="389">
        <f t="shared" si="13"/>
        <v>822.48182970663254</v>
      </c>
      <c r="N50" s="389">
        <f t="shared" si="13"/>
        <v>892.18459636288264</v>
      </c>
      <c r="O50" s="189"/>
      <c r="Q50" s="390"/>
      <c r="R50" s="390"/>
      <c r="S50" s="390"/>
      <c r="T50" s="390"/>
      <c r="U50" s="390"/>
      <c r="V50" s="390"/>
      <c r="W50" s="390"/>
      <c r="X50" s="390"/>
      <c r="Y50" s="390"/>
      <c r="Z50" s="390"/>
      <c r="AA50" s="390"/>
      <c r="AB50" s="390"/>
      <c r="AC50" s="390"/>
      <c r="AD50" s="390"/>
      <c r="AE50" s="390"/>
      <c r="AF50" s="390"/>
    </row>
    <row r="51" spans="1:32" s="390" customFormat="1" ht="15.75" thickTop="1">
      <c r="H51" s="391"/>
      <c r="I51" s="391"/>
      <c r="J51" s="391"/>
      <c r="K51" s="391"/>
      <c r="L51" s="391"/>
      <c r="M51" s="391"/>
      <c r="N51" s="391"/>
      <c r="Q51" s="365"/>
      <c r="R51" s="365"/>
      <c r="S51" s="365"/>
      <c r="T51" s="365"/>
      <c r="U51" s="365"/>
      <c r="V51" s="365"/>
      <c r="W51" s="365"/>
      <c r="X51" s="365"/>
      <c r="Y51" s="365"/>
      <c r="Z51" s="365"/>
      <c r="AA51" s="365"/>
      <c r="AB51" s="365"/>
      <c r="AC51" s="365"/>
      <c r="AD51" s="365"/>
      <c r="AE51" s="365"/>
      <c r="AF51" s="365"/>
    </row>
  </sheetData>
  <mergeCells count="2">
    <mergeCell ref="H4:N4"/>
    <mergeCell ref="H27:N27"/>
  </mergeCells>
  <printOptions horizontalCentered="1"/>
  <pageMargins left="0.7" right="0.7" top="0.75" bottom="0.75" header="0.3" footer="0.3"/>
  <pageSetup scale="64" fitToHeight="2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4F02CCDEAE143438F20DB2145ED1389" ma:contentTypeVersion="0" ma:contentTypeDescription="Create a new document." ma:contentTypeScope="" ma:versionID="cfc92ae0f15690854ffca48328e4302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9BF758F-B983-4A00-B7C3-2F09BF0EC26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FE317C-B3BF-4D2E-8E1E-E66B46926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69FB498-4712-4DA7-9449-0B819D809C63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21</vt:i4>
      </vt:variant>
    </vt:vector>
  </HeadingPairs>
  <TitlesOfParts>
    <vt:vector size="37" baseType="lpstr">
      <vt:lpstr>Assumption Sheet</vt:lpstr>
      <vt:lpstr>Table of Contents</vt:lpstr>
      <vt:lpstr>Exhibits ====&gt;</vt:lpstr>
      <vt:lpstr>Summary</vt:lpstr>
      <vt:lpstr>Trade Name</vt:lpstr>
      <vt:lpstr>Technology-RfR</vt:lpstr>
      <vt:lpstr>Noncompete</vt:lpstr>
      <vt:lpstr>Noncompete - With</vt:lpstr>
      <vt:lpstr>Noncompete - Without</vt:lpstr>
      <vt:lpstr>IRR</vt:lpstr>
      <vt:lpstr>WACC</vt:lpstr>
      <vt:lpstr>WARA</vt:lpstr>
      <vt:lpstr>Hist IS (All)</vt:lpstr>
      <vt:lpstr>Hist BS (All)</vt:lpstr>
      <vt:lpstr>Workpapers--&gt;</vt:lpstr>
      <vt:lpstr>Tax Depreciation</vt:lpstr>
      <vt:lpstr>Attrition_Rate</vt:lpstr>
      <vt:lpstr>Blended_Tax</vt:lpstr>
      <vt:lpstr>LTG_Rate</vt:lpstr>
      <vt:lpstr>Prime_Rate</vt:lpstr>
      <vt:lpstr>'Assumption Sheet'!Print_Area</vt:lpstr>
      <vt:lpstr>'Hist BS (All)'!Print_Area</vt:lpstr>
      <vt:lpstr>'Hist IS (All)'!Print_Area</vt:lpstr>
      <vt:lpstr>IRR!Print_Area</vt:lpstr>
      <vt:lpstr>Noncompete!Print_Area</vt:lpstr>
      <vt:lpstr>'Noncompete - With'!Print_Area</vt:lpstr>
      <vt:lpstr>'Noncompete - Without'!Print_Area</vt:lpstr>
      <vt:lpstr>Summary!Print_Area</vt:lpstr>
      <vt:lpstr>'Table of Contents'!Print_Area</vt:lpstr>
      <vt:lpstr>'Tax Depreciation'!Print_Area</vt:lpstr>
      <vt:lpstr>'Technology-RfR'!Print_Area</vt:lpstr>
      <vt:lpstr>'Trade Name'!Print_Area</vt:lpstr>
      <vt:lpstr>WACC!Print_Area</vt:lpstr>
      <vt:lpstr>WARA!Print_Area</vt:lpstr>
      <vt:lpstr>'Tax Depreciation'!Print_Titles</vt:lpstr>
      <vt:lpstr>rfr</vt:lpstr>
      <vt:lpstr>Val_Date</vt:lpstr>
    </vt:vector>
  </TitlesOfParts>
  <Company>Navigant Consulting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Rishabh Jain</dc:creator>
  <cp:lastModifiedBy>Charanjeet Singh Kohli</cp:lastModifiedBy>
  <cp:lastPrinted>2020-07-05T11:54:11Z</cp:lastPrinted>
  <dcterms:created xsi:type="dcterms:W3CDTF">2006-12-22T14:32:27Z</dcterms:created>
  <dcterms:modified xsi:type="dcterms:W3CDTF">2020-07-16T11:50:04Z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0x01010004F02CCDEAE143438F20DB2145ED1389</vt:lpwstr>
  </property>
</Properties>
</file>